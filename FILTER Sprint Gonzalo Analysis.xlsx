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'Completed'!$A$1:$S$185</definedName>
    <definedName name="_xlnm._FilterDatabase" localSheetId="3" hidden="1">'Not Completed'!$A$1:$S$37</definedName>
    <definedName name="_xlnm._FilterDatabase" localSheetId="4" hidden="1">'Removed'!$A$1:$S$7</definedName>
    <definedName name="_xlnm._FilterDatabase" localSheetId="5" hidden="1">'P1 Escalation'!$A$4:$S$13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9C57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5" borderId="0" pivotButton="0" quotePrefix="0" xfId="0"/>
    <xf numFmtId="0" fontId="9" fillId="5" borderId="0" pivotButton="0" quotePrefix="0" xfId="0"/>
    <xf numFmtId="0" fontId="0" fillId="5" borderId="0" applyAlignment="1" pivotButton="0" quotePrefix="0" xfId="0">
      <alignment vertical="top" wrapText="1"/>
    </xf>
    <xf numFmtId="167" fontId="0" fillId="5" borderId="0" pivotButton="0" quotePrefix="0" xfId="0"/>
    <xf numFmtId="2" fontId="0" fillId="5" borderId="0" pivotButton="0" quotePrefix="0" xfId="0"/>
    <xf numFmtId="0" fontId="8" fillId="5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6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7" borderId="0" applyAlignment="1" pivotButton="0" quotePrefix="0" xfId="0">
      <alignment vertical="top" wrapText="1"/>
    </xf>
    <xf numFmtId="167" fontId="0" fillId="7" borderId="0" pivotButton="0" quotePrefix="0" xfId="0"/>
    <xf numFmtId="2" fontId="0" fillId="7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1974" TargetMode="External" Id="rId1" /><Relationship Type="http://schemas.openxmlformats.org/officeDocument/2006/relationships/hyperlink" Target="https://securly.atlassian.net/browse/FILTER-13090" TargetMode="External" Id="rId2" /><Relationship Type="http://schemas.openxmlformats.org/officeDocument/2006/relationships/hyperlink" Target="https://securly.atlassian.net/browse/FILTER-13022" TargetMode="External" Id="rId3" /><Relationship Type="http://schemas.openxmlformats.org/officeDocument/2006/relationships/hyperlink" Target="https://securly.atlassian.net/browse/FILTER-13023" TargetMode="External" Id="rId4" /><Relationship Type="http://schemas.openxmlformats.org/officeDocument/2006/relationships/hyperlink" Target="https://securly.atlassian.net/browse/FILTER-13502" TargetMode="External" Id="rId5" /><Relationship Type="http://schemas.openxmlformats.org/officeDocument/2006/relationships/hyperlink" Target="https://securly.atlassian.net/browse/FILTER-13339" TargetMode="External" Id="rId6" /><Relationship Type="http://schemas.openxmlformats.org/officeDocument/2006/relationships/hyperlink" Target="https://securly.atlassian.net/browse/FILTER-13360" TargetMode="External" Id="rId7" /><Relationship Type="http://schemas.openxmlformats.org/officeDocument/2006/relationships/hyperlink" Target="https://securly.atlassian.net/browse/FILTER-13080" TargetMode="External" Id="rId8" /><Relationship Type="http://schemas.openxmlformats.org/officeDocument/2006/relationships/hyperlink" Target="https://securly.atlassian.net/browse/FILTER-12166" TargetMode="External" Id="rId9" /><Relationship Type="http://schemas.openxmlformats.org/officeDocument/2006/relationships/hyperlink" Target="https://securly.atlassian.net/browse/FILTER-12287" TargetMode="External" Id="rId10" /><Relationship Type="http://schemas.openxmlformats.org/officeDocument/2006/relationships/hyperlink" Target="https://securly.atlassian.net/browse/FILTER-12325" TargetMode="External" Id="rId11" /><Relationship Type="http://schemas.openxmlformats.org/officeDocument/2006/relationships/hyperlink" Target="https://securly.atlassian.net/browse/FILTER-12407" TargetMode="External" Id="rId12" /><Relationship Type="http://schemas.openxmlformats.org/officeDocument/2006/relationships/hyperlink" Target="https://securly.atlassian.net/browse/FILTER-12528" TargetMode="External" Id="rId13" /><Relationship Type="http://schemas.openxmlformats.org/officeDocument/2006/relationships/hyperlink" Target="https://securly.atlassian.net/browse/FILTER-12529" TargetMode="External" Id="rId14" /><Relationship Type="http://schemas.openxmlformats.org/officeDocument/2006/relationships/hyperlink" Target="https://securly.atlassian.net/browse/FILTER-12530" TargetMode="External" Id="rId15" /><Relationship Type="http://schemas.openxmlformats.org/officeDocument/2006/relationships/hyperlink" Target="https://securly.atlassian.net/browse/FILTER-12531" TargetMode="External" Id="rId16" /><Relationship Type="http://schemas.openxmlformats.org/officeDocument/2006/relationships/hyperlink" Target="https://securly.atlassian.net/browse/FILTER-12535" TargetMode="External" Id="rId17" /><Relationship Type="http://schemas.openxmlformats.org/officeDocument/2006/relationships/hyperlink" Target="https://securly.atlassian.net/browse/FILTER-12782" TargetMode="External" Id="rId18" /><Relationship Type="http://schemas.openxmlformats.org/officeDocument/2006/relationships/hyperlink" Target="https://securly.atlassian.net/browse/FILTER-12790" TargetMode="External" Id="rId19" /><Relationship Type="http://schemas.openxmlformats.org/officeDocument/2006/relationships/hyperlink" Target="https://securly.atlassian.net/browse/FILTER-12866" TargetMode="External" Id="rId20" /><Relationship Type="http://schemas.openxmlformats.org/officeDocument/2006/relationships/hyperlink" Target="https://securly.atlassian.net/browse/FILTER-12870" TargetMode="External" Id="rId21" /><Relationship Type="http://schemas.openxmlformats.org/officeDocument/2006/relationships/hyperlink" Target="https://securly.atlassian.net/browse/FILTER-12894" TargetMode="External" Id="rId22" /><Relationship Type="http://schemas.openxmlformats.org/officeDocument/2006/relationships/hyperlink" Target="https://securly.atlassian.net/browse/FILTER-12898" TargetMode="External" Id="rId23" /><Relationship Type="http://schemas.openxmlformats.org/officeDocument/2006/relationships/hyperlink" Target="https://securly.atlassian.net/browse/FILTER-12902" TargetMode="External" Id="rId24" /><Relationship Type="http://schemas.openxmlformats.org/officeDocument/2006/relationships/hyperlink" Target="https://securly.atlassian.net/browse/FILTER-12914" TargetMode="External" Id="rId25" /><Relationship Type="http://schemas.openxmlformats.org/officeDocument/2006/relationships/hyperlink" Target="https://securly.atlassian.net/browse/FILTER-12975" TargetMode="External" Id="rId26" /><Relationship Type="http://schemas.openxmlformats.org/officeDocument/2006/relationships/hyperlink" Target="https://securly.atlassian.net/browse/FILTER-13101" TargetMode="External" Id="rId27" /><Relationship Type="http://schemas.openxmlformats.org/officeDocument/2006/relationships/hyperlink" Target="https://securly.atlassian.net/browse/FILTER-13292" TargetMode="External" Id="rId28" /><Relationship Type="http://schemas.openxmlformats.org/officeDocument/2006/relationships/hyperlink" Target="https://securly.atlassian.net/browse/FILTER-13375" TargetMode="External" Id="rId29" /><Relationship Type="http://schemas.openxmlformats.org/officeDocument/2006/relationships/hyperlink" Target="https://securly.atlassian.net/browse/FILTER-13383" TargetMode="External" Id="rId30" /><Relationship Type="http://schemas.openxmlformats.org/officeDocument/2006/relationships/hyperlink" Target="https://securly.atlassian.net/browse/FILTER-13417" TargetMode="External" Id="rId31" /><Relationship Type="http://schemas.openxmlformats.org/officeDocument/2006/relationships/hyperlink" Target="https://securly.atlassian.net/browse/FILTER-13421" TargetMode="External" Id="rId32" /><Relationship Type="http://schemas.openxmlformats.org/officeDocument/2006/relationships/hyperlink" Target="https://securly.atlassian.net/browse/FILTER-13425" TargetMode="External" Id="rId33" /><Relationship Type="http://schemas.openxmlformats.org/officeDocument/2006/relationships/hyperlink" Target="https://securly.atlassian.net/browse/FILTER-13436" TargetMode="External" Id="rId34" /><Relationship Type="http://schemas.openxmlformats.org/officeDocument/2006/relationships/hyperlink" Target="https://securly.atlassian.net/browse/FILTER-13452" TargetMode="External" Id="rId35" /><Relationship Type="http://schemas.openxmlformats.org/officeDocument/2006/relationships/hyperlink" Target="https://securly.atlassian.net/browse/FILTER-13472" TargetMode="External" Id="rId36" /><Relationship Type="http://schemas.openxmlformats.org/officeDocument/2006/relationships/hyperlink" Target="https://securly.atlassian.net/browse/FILTER-13496" TargetMode="External" Id="rId37" /><Relationship Type="http://schemas.openxmlformats.org/officeDocument/2006/relationships/hyperlink" Target="https://securly.atlassian.net/browse/FILTER-11382" TargetMode="External" Id="rId38" /><Relationship Type="http://schemas.openxmlformats.org/officeDocument/2006/relationships/hyperlink" Target="https://securly.atlassian.net/browse/FILTER-11660" TargetMode="External" Id="rId39" /><Relationship Type="http://schemas.openxmlformats.org/officeDocument/2006/relationships/hyperlink" Target="https://securly.atlassian.net/browse/FILTER-11845" TargetMode="External" Id="rId40" /><Relationship Type="http://schemas.openxmlformats.org/officeDocument/2006/relationships/hyperlink" Target="https://securly.atlassian.net/browse/FILTER-11874" TargetMode="External" Id="rId41" /><Relationship Type="http://schemas.openxmlformats.org/officeDocument/2006/relationships/hyperlink" Target="https://securly.atlassian.net/browse/FILTER-11975" TargetMode="External" Id="rId42" /><Relationship Type="http://schemas.openxmlformats.org/officeDocument/2006/relationships/hyperlink" Target="https://securly.atlassian.net/browse/FILTER-12167" TargetMode="External" Id="rId43" /><Relationship Type="http://schemas.openxmlformats.org/officeDocument/2006/relationships/hyperlink" Target="https://securly.atlassian.net/browse/FILTER-12201" TargetMode="External" Id="rId44" /><Relationship Type="http://schemas.openxmlformats.org/officeDocument/2006/relationships/hyperlink" Target="https://securly.atlassian.net/browse/FILTER-12444" TargetMode="External" Id="rId45" /><Relationship Type="http://schemas.openxmlformats.org/officeDocument/2006/relationships/hyperlink" Target="https://securly.atlassian.net/browse/FILTER-12562" TargetMode="External" Id="rId46" /><Relationship Type="http://schemas.openxmlformats.org/officeDocument/2006/relationships/hyperlink" Target="https://securly.atlassian.net/browse/FILTER-12565" TargetMode="External" Id="rId47" /><Relationship Type="http://schemas.openxmlformats.org/officeDocument/2006/relationships/hyperlink" Target="https://securly.atlassian.net/browse/FILTER-12566" TargetMode="External" Id="rId48" /><Relationship Type="http://schemas.openxmlformats.org/officeDocument/2006/relationships/hyperlink" Target="https://securly.atlassian.net/browse/FILTER-12660" TargetMode="External" Id="rId49" /><Relationship Type="http://schemas.openxmlformats.org/officeDocument/2006/relationships/hyperlink" Target="https://securly.atlassian.net/browse/FILTER-12688" TargetMode="External" Id="rId50" /><Relationship Type="http://schemas.openxmlformats.org/officeDocument/2006/relationships/hyperlink" Target="https://securly.atlassian.net/browse/FILTER-12783" TargetMode="External" Id="rId51" /><Relationship Type="http://schemas.openxmlformats.org/officeDocument/2006/relationships/hyperlink" Target="https://securly.atlassian.net/browse/FILTER-12791" TargetMode="External" Id="rId52" /><Relationship Type="http://schemas.openxmlformats.org/officeDocument/2006/relationships/hyperlink" Target="https://securly.atlassian.net/browse/FILTER-12867" TargetMode="External" Id="rId53" /><Relationship Type="http://schemas.openxmlformats.org/officeDocument/2006/relationships/hyperlink" Target="https://securly.atlassian.net/browse/FILTER-12871" TargetMode="External" Id="rId54" /><Relationship Type="http://schemas.openxmlformats.org/officeDocument/2006/relationships/hyperlink" Target="https://securly.atlassian.net/browse/FILTER-12895" TargetMode="External" Id="rId55" /><Relationship Type="http://schemas.openxmlformats.org/officeDocument/2006/relationships/hyperlink" Target="https://securly.atlassian.net/browse/FILTER-12899" TargetMode="External" Id="rId56" /><Relationship Type="http://schemas.openxmlformats.org/officeDocument/2006/relationships/hyperlink" Target="https://securly.atlassian.net/browse/FILTER-12903" TargetMode="External" Id="rId57" /><Relationship Type="http://schemas.openxmlformats.org/officeDocument/2006/relationships/hyperlink" Target="https://securly.atlassian.net/browse/FILTER-12915" TargetMode="External" Id="rId58" /><Relationship Type="http://schemas.openxmlformats.org/officeDocument/2006/relationships/hyperlink" Target="https://securly.atlassian.net/browse/FILTER-12976" TargetMode="External" Id="rId59" /><Relationship Type="http://schemas.openxmlformats.org/officeDocument/2006/relationships/hyperlink" Target="https://securly.atlassian.net/browse/FILTER-13102" TargetMode="External" Id="rId60" /><Relationship Type="http://schemas.openxmlformats.org/officeDocument/2006/relationships/hyperlink" Target="https://securly.atlassian.net/browse/FILTER-13108" TargetMode="External" Id="rId61" /><Relationship Type="http://schemas.openxmlformats.org/officeDocument/2006/relationships/hyperlink" Target="https://securly.atlassian.net/browse/FILTER-13132" TargetMode="External" Id="rId62" /><Relationship Type="http://schemas.openxmlformats.org/officeDocument/2006/relationships/hyperlink" Target="https://securly.atlassian.net/browse/FILTER-13321" TargetMode="External" Id="rId63" /><Relationship Type="http://schemas.openxmlformats.org/officeDocument/2006/relationships/hyperlink" Target="https://securly.atlassian.net/browse/FILTER-13329" TargetMode="External" Id="rId64" /><Relationship Type="http://schemas.openxmlformats.org/officeDocument/2006/relationships/hyperlink" Target="https://securly.atlassian.net/browse/FILTER-13363" TargetMode="External" Id="rId65" /><Relationship Type="http://schemas.openxmlformats.org/officeDocument/2006/relationships/hyperlink" Target="https://securly.atlassian.net/browse/FILTER-13376" TargetMode="External" Id="rId66" /><Relationship Type="http://schemas.openxmlformats.org/officeDocument/2006/relationships/hyperlink" Target="https://securly.atlassian.net/browse/FILTER-13384" TargetMode="External" Id="rId67" /><Relationship Type="http://schemas.openxmlformats.org/officeDocument/2006/relationships/hyperlink" Target="https://securly.atlassian.net/browse/FILTER-13418" TargetMode="External" Id="rId68" /><Relationship Type="http://schemas.openxmlformats.org/officeDocument/2006/relationships/hyperlink" Target="https://securly.atlassian.net/browse/FILTER-13422" TargetMode="External" Id="rId69" /><Relationship Type="http://schemas.openxmlformats.org/officeDocument/2006/relationships/hyperlink" Target="https://securly.atlassian.net/browse/FILTER-13426" TargetMode="External" Id="rId70" /><Relationship Type="http://schemas.openxmlformats.org/officeDocument/2006/relationships/hyperlink" Target="https://securly.atlassian.net/browse/FILTER-13437" TargetMode="External" Id="rId71" /><Relationship Type="http://schemas.openxmlformats.org/officeDocument/2006/relationships/hyperlink" Target="https://securly.atlassian.net/browse/FILTER-13453" TargetMode="External" Id="rId72" /><Relationship Type="http://schemas.openxmlformats.org/officeDocument/2006/relationships/hyperlink" Target="https://securly.atlassian.net/browse/FILTER-13473" TargetMode="External" Id="rId73" /><Relationship Type="http://schemas.openxmlformats.org/officeDocument/2006/relationships/hyperlink" Target="https://securly.atlassian.net/browse/FILTER-13497" TargetMode="External" Id="rId74" /><Relationship Type="http://schemas.openxmlformats.org/officeDocument/2006/relationships/hyperlink" Target="https://securly.atlassian.net/browse/FILTER-12450" TargetMode="External" Id="rId75" /><Relationship Type="http://schemas.openxmlformats.org/officeDocument/2006/relationships/hyperlink" Target="https://securly.atlassian.net/browse/FILTER-12851" TargetMode="External" Id="rId76" /><Relationship Type="http://schemas.openxmlformats.org/officeDocument/2006/relationships/hyperlink" Target="https://securly.atlassian.net/browse/FILTER-13012" TargetMode="External" Id="rId77" /><Relationship Type="http://schemas.openxmlformats.org/officeDocument/2006/relationships/hyperlink" Target="https://securly.atlassian.net/browse/FILTER-13034" TargetMode="External" Id="rId78" /><Relationship Type="http://schemas.openxmlformats.org/officeDocument/2006/relationships/hyperlink" Target="https://securly.atlassian.net/browse/FILTER-13042" TargetMode="External" Id="rId79" /><Relationship Type="http://schemas.openxmlformats.org/officeDocument/2006/relationships/hyperlink" Target="https://securly.atlassian.net/browse/FILTER-11381" TargetMode="External" Id="rId80" /><Relationship Type="http://schemas.openxmlformats.org/officeDocument/2006/relationships/hyperlink" Target="https://securly.atlassian.net/browse/FILTER-11846" TargetMode="External" Id="rId81" /><Relationship Type="http://schemas.openxmlformats.org/officeDocument/2006/relationships/hyperlink" Target="https://securly.atlassian.net/browse/FILTER-12157" TargetMode="External" Id="rId82" /><Relationship Type="http://schemas.openxmlformats.org/officeDocument/2006/relationships/hyperlink" Target="https://securly.atlassian.net/browse/FILTER-12229" TargetMode="External" Id="rId83" /><Relationship Type="http://schemas.openxmlformats.org/officeDocument/2006/relationships/hyperlink" Target="https://securly.atlassian.net/browse/FILTER-12266" TargetMode="External" Id="rId84" /><Relationship Type="http://schemas.openxmlformats.org/officeDocument/2006/relationships/hyperlink" Target="https://securly.atlassian.net/browse/FILTER-12270" TargetMode="External" Id="rId85" /><Relationship Type="http://schemas.openxmlformats.org/officeDocument/2006/relationships/hyperlink" Target="https://securly.atlassian.net/browse/FILTER-12273" TargetMode="External" Id="rId86" /><Relationship Type="http://schemas.openxmlformats.org/officeDocument/2006/relationships/hyperlink" Target="https://securly.atlassian.net/browse/FILTER-12276" TargetMode="External" Id="rId87" /><Relationship Type="http://schemas.openxmlformats.org/officeDocument/2006/relationships/hyperlink" Target="https://securly.atlassian.net/browse/FILTER-12285" TargetMode="External" Id="rId88" /><Relationship Type="http://schemas.openxmlformats.org/officeDocument/2006/relationships/hyperlink" Target="https://securly.atlassian.net/browse/FILTER-12533" TargetMode="External" Id="rId89" /><Relationship Type="http://schemas.openxmlformats.org/officeDocument/2006/relationships/hyperlink" Target="https://securly.atlassian.net/browse/FILTER-13416" TargetMode="External" Id="rId90" /><Relationship Type="http://schemas.openxmlformats.org/officeDocument/2006/relationships/hyperlink" Target="https://securly.atlassian.net/browse/FILTER-13420" TargetMode="External" Id="rId91" /><Relationship Type="http://schemas.openxmlformats.org/officeDocument/2006/relationships/hyperlink" Target="https://securly.atlassian.net/browse/FILTER-13424" TargetMode="External" Id="rId92" /><Relationship Type="http://schemas.openxmlformats.org/officeDocument/2006/relationships/hyperlink" Target="https://securly.atlassian.net/browse/FILTER-13451" TargetMode="External" Id="rId93" /><Relationship Type="http://schemas.openxmlformats.org/officeDocument/2006/relationships/hyperlink" Target="https://securly.atlassian.net/browse/FILTER-12686" TargetMode="External" Id="rId94" /><Relationship Type="http://schemas.openxmlformats.org/officeDocument/2006/relationships/hyperlink" Target="https://securly.atlassian.net/browse/FILTER-12849" TargetMode="External" Id="rId95" /><Relationship Type="http://schemas.openxmlformats.org/officeDocument/2006/relationships/hyperlink" Target="https://securly.atlassian.net/browse/FILTER-12564" TargetMode="External" Id="rId96" /><Relationship Type="http://schemas.openxmlformats.org/officeDocument/2006/relationships/hyperlink" Target="https://securly.atlassian.net/browse/FILTER-11383" TargetMode="External" Id="rId97" /><Relationship Type="http://schemas.openxmlformats.org/officeDocument/2006/relationships/hyperlink" Target="https://securly.atlassian.net/browse/FILTER-11847" TargetMode="External" Id="rId98" /><Relationship Type="http://schemas.openxmlformats.org/officeDocument/2006/relationships/hyperlink" Target="https://securly.atlassian.net/browse/FILTER-11897" TargetMode="External" Id="rId99" /><Relationship Type="http://schemas.openxmlformats.org/officeDocument/2006/relationships/hyperlink" Target="https://securly.atlassian.net/browse/FILTER-12158" TargetMode="External" Id="rId100" /><Relationship Type="http://schemas.openxmlformats.org/officeDocument/2006/relationships/hyperlink" Target="https://securly.atlassian.net/browse/FILTER-12230" TargetMode="External" Id="rId101" /><Relationship Type="http://schemas.openxmlformats.org/officeDocument/2006/relationships/hyperlink" Target="https://securly.atlassian.net/browse/FILTER-12267" TargetMode="External" Id="rId102" /><Relationship Type="http://schemas.openxmlformats.org/officeDocument/2006/relationships/hyperlink" Target="https://securly.atlassian.net/browse/FILTER-12274" TargetMode="External" Id="rId103" /><Relationship Type="http://schemas.openxmlformats.org/officeDocument/2006/relationships/hyperlink" Target="https://securly.atlassian.net/browse/FILTER-12277" TargetMode="External" Id="rId104" /><Relationship Type="http://schemas.openxmlformats.org/officeDocument/2006/relationships/hyperlink" Target="https://securly.atlassian.net/browse/FILTER-12286" TargetMode="External" Id="rId105" /><Relationship Type="http://schemas.openxmlformats.org/officeDocument/2006/relationships/hyperlink" Target="https://securly.atlassian.net/browse/FILTER-12288" TargetMode="External" Id="rId106" /><Relationship Type="http://schemas.openxmlformats.org/officeDocument/2006/relationships/hyperlink" Target="https://securly.atlassian.net/browse/FILTER-13107" TargetMode="External" Id="rId107" /><Relationship Type="http://schemas.openxmlformats.org/officeDocument/2006/relationships/hyperlink" Target="https://securly.atlassian.net/browse/FILTER-12242" TargetMode="External" Id="rId108" /><Relationship Type="http://schemas.openxmlformats.org/officeDocument/2006/relationships/hyperlink" Target="https://securly.atlassian.net/browse/FILTER-12293" TargetMode="External" Id="rId109" /><Relationship Type="http://schemas.openxmlformats.org/officeDocument/2006/relationships/hyperlink" Target="https://securly.atlassian.net/browse/FILTER-12294" TargetMode="External" Id="rId110" /><Relationship Type="http://schemas.openxmlformats.org/officeDocument/2006/relationships/hyperlink" Target="https://securly.atlassian.net/browse/FILTER-12305" TargetMode="External" Id="rId111" /><Relationship Type="http://schemas.openxmlformats.org/officeDocument/2006/relationships/hyperlink" Target="https://securly.atlassian.net/browse/FILTER-12306" TargetMode="External" Id="rId112" /><Relationship Type="http://schemas.openxmlformats.org/officeDocument/2006/relationships/hyperlink" Target="https://securly.atlassian.net/browse/FILTER-12308" TargetMode="External" Id="rId113" /><Relationship Type="http://schemas.openxmlformats.org/officeDocument/2006/relationships/hyperlink" Target="https://securly.atlassian.net/browse/FILTER-12310" TargetMode="External" Id="rId114" /><Relationship Type="http://schemas.openxmlformats.org/officeDocument/2006/relationships/hyperlink" Target="https://securly.atlassian.net/browse/FILTER-12311" TargetMode="External" Id="rId115" /><Relationship Type="http://schemas.openxmlformats.org/officeDocument/2006/relationships/hyperlink" Target="https://securly.atlassian.net/browse/FILTER-12312" TargetMode="External" Id="rId116" /><Relationship Type="http://schemas.openxmlformats.org/officeDocument/2006/relationships/hyperlink" Target="https://securly.atlassian.net/browse/FILTER-12474" TargetMode="External" Id="rId117" /><Relationship Type="http://schemas.openxmlformats.org/officeDocument/2006/relationships/hyperlink" Target="https://securly.atlassian.net/browse/FILTER-12658" TargetMode="External" Id="rId118" /><Relationship Type="http://schemas.openxmlformats.org/officeDocument/2006/relationships/hyperlink" Target="https://securly.atlassian.net/browse/FILTER-12781" TargetMode="External" Id="rId119" /><Relationship Type="http://schemas.openxmlformats.org/officeDocument/2006/relationships/hyperlink" Target="https://securly.atlassian.net/browse/FILTER-12789" TargetMode="External" Id="rId120" /><Relationship Type="http://schemas.openxmlformats.org/officeDocument/2006/relationships/hyperlink" Target="https://securly.atlassian.net/browse/FILTER-12913" TargetMode="External" Id="rId121" /><Relationship Type="http://schemas.openxmlformats.org/officeDocument/2006/relationships/hyperlink" Target="https://securly.atlassian.net/browse/FILTER-12974" TargetMode="External" Id="rId122" /><Relationship Type="http://schemas.openxmlformats.org/officeDocument/2006/relationships/hyperlink" Target="https://securly.atlassian.net/browse/FILTER-13374" TargetMode="External" Id="rId123" /><Relationship Type="http://schemas.openxmlformats.org/officeDocument/2006/relationships/hyperlink" Target="https://securly.atlassian.net/browse/FILTER-13382" TargetMode="External" Id="rId124" /><Relationship Type="http://schemas.openxmlformats.org/officeDocument/2006/relationships/hyperlink" Target="https://securly.atlassian.net/browse/FILTER-13471" TargetMode="External" Id="rId125" /><Relationship Type="http://schemas.openxmlformats.org/officeDocument/2006/relationships/hyperlink" Target="https://securly.atlassian.net/browse/FILTER-13495" TargetMode="External" Id="rId126" /><Relationship Type="http://schemas.openxmlformats.org/officeDocument/2006/relationships/hyperlink" Target="https://securly.atlassian.net/browse/FILTER-11659" TargetMode="External" Id="rId127" /><Relationship Type="http://schemas.openxmlformats.org/officeDocument/2006/relationships/hyperlink" Target="https://securly.atlassian.net/browse/FILTER-12301" TargetMode="External" Id="rId128" /><Relationship Type="http://schemas.openxmlformats.org/officeDocument/2006/relationships/hyperlink" Target="https://securly.atlassian.net/browse/FILTER-12865" TargetMode="External" Id="rId129" /><Relationship Type="http://schemas.openxmlformats.org/officeDocument/2006/relationships/hyperlink" Target="https://securly.atlassian.net/browse/FILTER-12869" TargetMode="External" Id="rId130" /><Relationship Type="http://schemas.openxmlformats.org/officeDocument/2006/relationships/hyperlink" Target="https://securly.atlassian.net/browse/FILTER-12893" TargetMode="External" Id="rId131" /><Relationship Type="http://schemas.openxmlformats.org/officeDocument/2006/relationships/hyperlink" Target="https://securly.atlassian.net/browse/FILTER-12901" TargetMode="External" Id="rId132" /><Relationship Type="http://schemas.openxmlformats.org/officeDocument/2006/relationships/hyperlink" Target="https://securly.atlassian.net/browse/FILTER-13032" TargetMode="External" Id="rId133" /><Relationship Type="http://schemas.openxmlformats.org/officeDocument/2006/relationships/hyperlink" Target="https://securly.atlassian.net/browse/FILTER-13100" TargetMode="External" Id="rId134" /><Relationship Type="http://schemas.openxmlformats.org/officeDocument/2006/relationships/hyperlink" Target="https://securly.atlassian.net/browse/FILTER-13277" TargetMode="External" Id="rId135" /><Relationship Type="http://schemas.openxmlformats.org/officeDocument/2006/relationships/hyperlink" Target="https://securly.atlassian.net/browse/FILTER-13327" TargetMode="External" Id="rId136" /><Relationship Type="http://schemas.openxmlformats.org/officeDocument/2006/relationships/hyperlink" Target="https://securly.atlassian.net/browse/FILTER-13361" TargetMode="External" Id="rId137" /><Relationship Type="http://schemas.openxmlformats.org/officeDocument/2006/relationships/hyperlink" Target="https://securly.atlassian.net/browse/FILTER-11896" TargetMode="External" Id="rId138" /><Relationship Type="http://schemas.openxmlformats.org/officeDocument/2006/relationships/hyperlink" Target="https://securly.atlassian.net/browse/FILTER-12165" TargetMode="External" Id="rId139" /><Relationship Type="http://schemas.openxmlformats.org/officeDocument/2006/relationships/hyperlink" Target="https://securly.atlassian.net/browse/FILTER-12540" TargetMode="External" Id="rId140" /><Relationship Type="http://schemas.openxmlformats.org/officeDocument/2006/relationships/hyperlink" Target="https://securly.atlassian.net/browse/FILTER-12821" TargetMode="External" Id="rId141" /><Relationship Type="http://schemas.openxmlformats.org/officeDocument/2006/relationships/hyperlink" Target="https://securly.atlassian.net/browse/FILTER-13010" TargetMode="External" Id="rId142" /><Relationship Type="http://schemas.openxmlformats.org/officeDocument/2006/relationships/hyperlink" Target="https://securly.atlassian.net/browse/FILTER-13106" TargetMode="External" Id="rId143" /><Relationship Type="http://schemas.openxmlformats.org/officeDocument/2006/relationships/hyperlink" Target="https://securly.atlassian.net/browse/FILTER-12333" TargetMode="External" Id="rId144" /><Relationship Type="http://schemas.openxmlformats.org/officeDocument/2006/relationships/hyperlink" Target="https://securly.atlassian.net/browse/FILTER-12336" TargetMode="External" Id="rId145" /><Relationship Type="http://schemas.openxmlformats.org/officeDocument/2006/relationships/hyperlink" Target="https://securly.atlassian.net/browse/FILTER-13013" TargetMode="External" Id="rId146" /><Relationship Type="http://schemas.openxmlformats.org/officeDocument/2006/relationships/hyperlink" Target="https://securly.atlassian.net/browse/FILTER-13014" TargetMode="External" Id="rId147" /><Relationship Type="http://schemas.openxmlformats.org/officeDocument/2006/relationships/hyperlink" Target="https://securly.atlassian.net/browse/FILTER-13015" TargetMode="External" Id="rId148" /><Relationship Type="http://schemas.openxmlformats.org/officeDocument/2006/relationships/hyperlink" Target="https://securly.atlassian.net/browse/FILTER-13016" TargetMode="External" Id="rId149" /><Relationship Type="http://schemas.openxmlformats.org/officeDocument/2006/relationships/hyperlink" Target="https://securly.atlassian.net/browse/FILTER-12324" TargetMode="External" Id="rId150" /><Relationship Type="http://schemas.openxmlformats.org/officeDocument/2006/relationships/hyperlink" Target="https://securly.atlassian.net/browse/FILTER-12344" TargetMode="External" Id="rId151" /><Relationship Type="http://schemas.openxmlformats.org/officeDocument/2006/relationships/hyperlink" Target="https://securly.atlassian.net/browse/FILTER-12406" TargetMode="External" Id="rId152" /><Relationship Type="http://schemas.openxmlformats.org/officeDocument/2006/relationships/hyperlink" Target="https://securly.atlassian.net/browse/FILTER-12534" TargetMode="External" Id="rId153" /><Relationship Type="http://schemas.openxmlformats.org/officeDocument/2006/relationships/hyperlink" Target="https://securly.atlassian.net/browse/FILTER-13130" TargetMode="External" Id="rId154" /><Relationship Type="http://schemas.openxmlformats.org/officeDocument/2006/relationships/hyperlink" Target="https://securly.atlassian.net/browse/FILTER-13291" TargetMode="External" Id="rId155" /><Relationship Type="http://schemas.openxmlformats.org/officeDocument/2006/relationships/hyperlink" Target="https://securly.atlassian.net/browse/FILTER-13435" TargetMode="External" Id="rId156" /><Relationship Type="http://schemas.openxmlformats.org/officeDocument/2006/relationships/hyperlink" Target="https://securly.atlassian.net/browse/FILTER-13783" TargetMode="External" Id="rId157" /><Relationship Type="http://schemas.openxmlformats.org/officeDocument/2006/relationships/hyperlink" Target="https://securly.atlassian.net/browse/FILTER-13786" TargetMode="External" Id="rId158" /><Relationship Type="http://schemas.openxmlformats.org/officeDocument/2006/relationships/hyperlink" Target="https://securly.atlassian.net/browse/PTGM-664" TargetMode="External" Id="rId159" /><Relationship Type="http://schemas.openxmlformats.org/officeDocument/2006/relationships/hyperlink" Target="https://securly.atlassian.net/browse/FILTER-12897" TargetMode="External" Id="rId160" /><Relationship Type="http://schemas.openxmlformats.org/officeDocument/2006/relationships/hyperlink" Target="https://securly.atlassian.net/browse/FILTER-11661" TargetMode="External" Id="rId161" /><Relationship Type="http://schemas.openxmlformats.org/officeDocument/2006/relationships/hyperlink" Target="https://securly.atlassian.net/browse/FILTER-11666" TargetMode="External" Id="rId162" /><Relationship Type="http://schemas.openxmlformats.org/officeDocument/2006/relationships/hyperlink" Target="https://securly.atlassian.net/browse/FILTER-12200" TargetMode="External" Id="rId163" /><Relationship Type="http://schemas.openxmlformats.org/officeDocument/2006/relationships/hyperlink" Target="https://securly.atlassian.net/browse/FILTER-12659" TargetMode="External" Id="rId164" /><Relationship Type="http://schemas.openxmlformats.org/officeDocument/2006/relationships/hyperlink" Target="https://securly.atlassian.net/browse/FILTER-13078" TargetMode="External" Id="rId165" /><Relationship Type="http://schemas.openxmlformats.org/officeDocument/2006/relationships/hyperlink" Target="https://securly.atlassian.net/browse/FILTER-13079" TargetMode="External" Id="rId166" /><Relationship Type="http://schemas.openxmlformats.org/officeDocument/2006/relationships/hyperlink" Target="https://securly.atlassian.net/browse/FILTER-13131" TargetMode="External" Id="rId167" /><Relationship Type="http://schemas.openxmlformats.org/officeDocument/2006/relationships/hyperlink" Target="https://securly.atlassian.net/browse/FILTER-13328" TargetMode="External" Id="rId168" /><Relationship Type="http://schemas.openxmlformats.org/officeDocument/2006/relationships/hyperlink" Target="https://securly.atlassian.net/browse/FILTER-13362" TargetMode="External" Id="rId169" /><Relationship Type="http://schemas.openxmlformats.org/officeDocument/2006/relationships/hyperlink" Target="https://securly.atlassian.net/browse/FILTER-13433" TargetMode="External" Id="rId170" /><Relationship Type="http://schemas.openxmlformats.org/officeDocument/2006/relationships/hyperlink" Target="https://securly.atlassian.net/browse/FILTER-12467" TargetMode="External" Id="rId171" /><Relationship Type="http://schemas.openxmlformats.org/officeDocument/2006/relationships/hyperlink" Target="https://securly.atlassian.net/browse/FILTER-12468" TargetMode="External" Id="rId172" /><Relationship Type="http://schemas.openxmlformats.org/officeDocument/2006/relationships/hyperlink" Target="https://securly.atlassian.net/browse/FILTER-12469" TargetMode="External" Id="rId173" /><Relationship Type="http://schemas.openxmlformats.org/officeDocument/2006/relationships/hyperlink" Target="https://securly.atlassian.net/browse/FILTER-12470" TargetMode="External" Id="rId174" /><Relationship Type="http://schemas.openxmlformats.org/officeDocument/2006/relationships/hyperlink" Target="https://securly.atlassian.net/browse/FILTER-12471" TargetMode="External" Id="rId175" /><Relationship Type="http://schemas.openxmlformats.org/officeDocument/2006/relationships/hyperlink" Target="https://securly.atlassian.net/browse/FILTER-12472" TargetMode="External" Id="rId176" /><Relationship Type="http://schemas.openxmlformats.org/officeDocument/2006/relationships/hyperlink" Target="https://securly.atlassian.net/browse/FILTER-12561" TargetMode="External" Id="rId177" /><Relationship Type="http://schemas.openxmlformats.org/officeDocument/2006/relationships/hyperlink" Target="https://securly.atlassian.net/browse/FILTER-11665" TargetMode="External" Id="rId178" /><Relationship Type="http://schemas.openxmlformats.org/officeDocument/2006/relationships/hyperlink" Target="https://securly.atlassian.net/browse/FILTER-12177" TargetMode="External" Id="rId179" /><Relationship Type="http://schemas.openxmlformats.org/officeDocument/2006/relationships/hyperlink" Target="https://securly.atlassian.net/browse/FILTER-12448" TargetMode="External" Id="rId180" /><Relationship Type="http://schemas.openxmlformats.org/officeDocument/2006/relationships/hyperlink" Target="https://securly.atlassian.net/browse/FILTER-12536" TargetMode="External" Id="rId181" /><Relationship Type="http://schemas.openxmlformats.org/officeDocument/2006/relationships/hyperlink" Target="https://securly.atlassian.net/browse/FILTER-13081" TargetMode="External" Id="rId182" /><Relationship Type="http://schemas.openxmlformats.org/officeDocument/2006/relationships/hyperlink" Target="https://securly.atlassian.net/browse/PTGM-686" TargetMode="External" Id="rId183" /><Relationship Type="http://schemas.openxmlformats.org/officeDocument/2006/relationships/hyperlink" Target="https://securly.atlassian.net/browse/PTGM-687" TargetMode="External" Id="rId184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3047" TargetMode="External" Id="rId1" /><Relationship Type="http://schemas.openxmlformats.org/officeDocument/2006/relationships/hyperlink" Target="https://securly.atlassian.net/browse/FILTER-12345" TargetMode="External" Id="rId2" /><Relationship Type="http://schemas.openxmlformats.org/officeDocument/2006/relationships/hyperlink" Target="https://securly.atlassian.net/browse/FILTER-12621" TargetMode="External" Id="rId3" /><Relationship Type="http://schemas.openxmlformats.org/officeDocument/2006/relationships/hyperlink" Target="https://securly.atlassian.net/browse/FILTER-13784" TargetMode="External" Id="rId4" /><Relationship Type="http://schemas.openxmlformats.org/officeDocument/2006/relationships/hyperlink" Target="https://securly.atlassian.net/browse/FILTER-13787" TargetMode="External" Id="rId5" /><Relationship Type="http://schemas.openxmlformats.org/officeDocument/2006/relationships/hyperlink" Target="https://securly.atlassian.net/browse/FILTER-11844" TargetMode="External" Id="rId6" /><Relationship Type="http://schemas.openxmlformats.org/officeDocument/2006/relationships/hyperlink" Target="https://securly.atlassian.net/browse/FILTER-11873" TargetMode="External" Id="rId7" /><Relationship Type="http://schemas.openxmlformats.org/officeDocument/2006/relationships/hyperlink" Target="https://securly.atlassian.net/browse/FILTER-12179" TargetMode="External" Id="rId8" /><Relationship Type="http://schemas.openxmlformats.org/officeDocument/2006/relationships/hyperlink" Target="https://securly.atlassian.net/browse/FILTER-12494" TargetMode="External" Id="rId9" /><Relationship Type="http://schemas.openxmlformats.org/officeDocument/2006/relationships/hyperlink" Target="https://securly.atlassian.net/browse/FILTER-12622" TargetMode="External" Id="rId10" /><Relationship Type="http://schemas.openxmlformats.org/officeDocument/2006/relationships/hyperlink" Target="https://securly.atlassian.net/browse/FILTER-12823" TargetMode="External" Id="rId11" /><Relationship Type="http://schemas.openxmlformats.org/officeDocument/2006/relationships/hyperlink" Target="https://securly.atlassian.net/browse/FILTER-12526" TargetMode="External" Id="rId12" /><Relationship Type="http://schemas.openxmlformats.org/officeDocument/2006/relationships/hyperlink" Target="https://securly.atlassian.net/browse/FILTER-12542" TargetMode="External" Id="rId13" /><Relationship Type="http://schemas.openxmlformats.org/officeDocument/2006/relationships/hyperlink" Target="https://securly.atlassian.net/browse/FILTER-12984" TargetMode="External" Id="rId14" /><Relationship Type="http://schemas.openxmlformats.org/officeDocument/2006/relationships/hyperlink" Target="https://securly.atlassian.net/browse/FILTER-12620" TargetMode="External" Id="rId15" /><Relationship Type="http://schemas.openxmlformats.org/officeDocument/2006/relationships/hyperlink" Target="https://securly.atlassian.net/browse/FILTER-13826" TargetMode="External" Id="rId16" /><Relationship Type="http://schemas.openxmlformats.org/officeDocument/2006/relationships/hyperlink" Target="https://securly.atlassian.net/browse/FILTER-12105" TargetMode="External" Id="rId17" /><Relationship Type="http://schemas.openxmlformats.org/officeDocument/2006/relationships/hyperlink" Target="https://securly.atlassian.net/browse/FILTER-12178" TargetMode="External" Id="rId18" /><Relationship Type="http://schemas.openxmlformats.org/officeDocument/2006/relationships/hyperlink" Target="https://securly.atlassian.net/browse/FILTER-12449" TargetMode="External" Id="rId19" /><Relationship Type="http://schemas.openxmlformats.org/officeDocument/2006/relationships/hyperlink" Target="https://securly.atlassian.net/browse/FILTER-12493" TargetMode="External" Id="rId20" /><Relationship Type="http://schemas.openxmlformats.org/officeDocument/2006/relationships/hyperlink" Target="https://securly.atlassian.net/browse/FILTER-12541" TargetMode="External" Id="rId21" /><Relationship Type="http://schemas.openxmlformats.org/officeDocument/2006/relationships/hyperlink" Target="https://securly.atlassian.net/browse/FILTER-10604" TargetMode="External" Id="rId22" /><Relationship Type="http://schemas.openxmlformats.org/officeDocument/2006/relationships/hyperlink" Target="https://securly.atlassian.net/browse/FILTER-11697" TargetMode="External" Id="rId23" /><Relationship Type="http://schemas.openxmlformats.org/officeDocument/2006/relationships/hyperlink" Target="https://securly.atlassian.net/browse/FILTER-11843" TargetMode="External" Id="rId24" /><Relationship Type="http://schemas.openxmlformats.org/officeDocument/2006/relationships/hyperlink" Target="https://securly.atlassian.net/browse/FILTER-11872" TargetMode="External" Id="rId25" /><Relationship Type="http://schemas.openxmlformats.org/officeDocument/2006/relationships/hyperlink" Target="https://securly.atlassian.net/browse/FILTER-12492" TargetMode="External" Id="rId26" /><Relationship Type="http://schemas.openxmlformats.org/officeDocument/2006/relationships/hyperlink" Target="https://securly.atlassian.net/browse/FILTER-12104" TargetMode="External" Id="rId27" /><Relationship Type="http://schemas.openxmlformats.org/officeDocument/2006/relationships/hyperlink" Target="https://securly.atlassian.net/browse/FILTER-12982" TargetMode="External" Id="rId28" /><Relationship Type="http://schemas.openxmlformats.org/officeDocument/2006/relationships/hyperlink" Target="https://securly.atlassian.net/browse/FILTER-13040" TargetMode="External" Id="rId29" /><Relationship Type="http://schemas.openxmlformats.org/officeDocument/2006/relationships/hyperlink" Target="https://securly.atlassian.net/browse/FILTER-13319" TargetMode="External" Id="rId30" /><Relationship Type="http://schemas.openxmlformats.org/officeDocument/2006/relationships/hyperlink" Target="https://securly.atlassian.net/browse/PTGM-663" TargetMode="External" Id="rId31" /><Relationship Type="http://schemas.openxmlformats.org/officeDocument/2006/relationships/hyperlink" Target="https://securly.atlassian.net/browse/FILTER-13320" TargetMode="External" Id="rId32" /><Relationship Type="http://schemas.openxmlformats.org/officeDocument/2006/relationships/hyperlink" Target="https://securly.atlassian.net/browse/FDSE-155" TargetMode="External" Id="rId33" /><Relationship Type="http://schemas.openxmlformats.org/officeDocument/2006/relationships/hyperlink" Target="https://securly.atlassian.net/browse/FDSE-163" TargetMode="External" Id="rId34" /><Relationship Type="http://schemas.openxmlformats.org/officeDocument/2006/relationships/hyperlink" Target="https://securly.atlassian.net/browse/FDSE-164" TargetMode="External" Id="rId35" /><Relationship Type="http://schemas.openxmlformats.org/officeDocument/2006/relationships/hyperlink" Target="https://securly.atlassian.net/browse/FILTER-12473" TargetMode="External" Id="rId36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2150" TargetMode="External" Id="rId1" /><Relationship Type="http://schemas.openxmlformats.org/officeDocument/2006/relationships/hyperlink" Target="https://securly.atlassian.net/browse/FILTER-12400" TargetMode="External" Id="rId2" /><Relationship Type="http://schemas.openxmlformats.org/officeDocument/2006/relationships/hyperlink" Target="https://securly.atlassian.net/browse/FILTER-10780" TargetMode="External" Id="rId3" /><Relationship Type="http://schemas.openxmlformats.org/officeDocument/2006/relationships/hyperlink" Target="https://securly.atlassian.net/browse/FILTER-12796" TargetMode="External" Id="rId4" /><Relationship Type="http://schemas.openxmlformats.org/officeDocument/2006/relationships/hyperlink" Target="https://securly.atlassian.net/browse/FILTER-12010" TargetMode="External" Id="rId5" /><Relationship Type="http://schemas.openxmlformats.org/officeDocument/2006/relationships/hyperlink" Target="https://securly.atlassian.net/browse/FILTER-7955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2119" TargetMode="External" Id="rId2" /><Relationship Type="http://schemas.openxmlformats.org/officeDocument/2006/relationships/hyperlink" Target="https://securly.atlassian.net/browse/FILTER-12476" TargetMode="External" Id="rId3" /><Relationship Type="http://schemas.openxmlformats.org/officeDocument/2006/relationships/hyperlink" Target="https://securly.atlassian.net/browse/FILTER-12619" TargetMode="External" Id="rId4" /><Relationship Type="http://schemas.openxmlformats.org/officeDocument/2006/relationships/hyperlink" Target="https://securly.atlassian.net/browse/FILTER-12010" TargetMode="External" Id="rId5" /><Relationship Type="http://schemas.openxmlformats.org/officeDocument/2006/relationships/hyperlink" Target="https://securly.atlassian.net/browse/FILTER-11654" TargetMode="External" Id="rId6" /><Relationship Type="http://schemas.openxmlformats.org/officeDocument/2006/relationships/hyperlink" Target="https://securly.atlassian.net/browse/FILTER-12093" TargetMode="External" Id="rId7" /><Relationship Type="http://schemas.openxmlformats.org/officeDocument/2006/relationships/hyperlink" Target="https://securly.atlassian.net/browse/FILTER-13105" TargetMode="External" Id="rId8" /><Relationship Type="http://schemas.openxmlformats.org/officeDocument/2006/relationships/hyperlink" Target="https://securly.atlassian.net/browse/FILTER-1312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sprint-Gonzalo (Tue 31 Mar → Mon 13 Apr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t="inlineStr">
        <is>
          <t>Amol Mithari</t>
        </is>
      </c>
      <c r="B20" t="inlineStr">
        <is>
          <t>Auto QA Lead</t>
        </is>
      </c>
      <c r="C20" t="inlineStr">
        <is>
          <t>Team Lead — Auto QA / SDET</t>
        </is>
      </c>
      <c r="D20" s="4" t="n">
        <v>1</v>
      </c>
      <c r="E20" t="inlineStr">
        <is>
          <t>Lead</t>
        </is>
      </c>
      <c r="F20" t="inlineStr">
        <is>
          <t>FTE</t>
        </is>
      </c>
      <c r="G20" t="inlineStr"/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s="5" t="inlineStr">
        <is>
          <t>Rachit Mishra</t>
        </is>
      </c>
      <c r="B22" s="5" t="inlineStr">
        <is>
          <t>Auto QA</t>
        </is>
      </c>
      <c r="C22" s="5" t="inlineStr">
        <is>
          <t>SDET</t>
        </is>
      </c>
      <c r="D22" s="6" t="n">
        <v>0</v>
      </c>
      <c r="E22" s="5" t="inlineStr">
        <is>
          <t>Junior</t>
        </is>
      </c>
      <c r="F22" s="5" t="inlineStr">
        <is>
          <t>FTE</t>
        </is>
      </c>
      <c r="G22" s="5" t="inlineStr">
        <is>
          <t>Left team on 20-Feb-2026 — not part of this sprint</t>
        </is>
      </c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sprint-Gonzalo = 2026-03-31 → 2026-04-13.</t>
        </is>
      </c>
    </row>
    <row r="28">
      <c r="A28" t="inlineStr">
        <is>
          <t>Company holidays in sprint</t>
        </is>
      </c>
      <c r="B28" s="7" t="n">
        <v>0</v>
      </c>
      <c r="C28" t="inlineStr">
        <is>
          <t>India calendar 2026 — none in window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3 · FILTER: 344 · PTGM: 5</t>
        </is>
      </c>
    </row>
    <row r="38">
      <c r="A38" s="2" t="inlineStr">
        <is>
          <t>Capacity vs Actual Delivery — sprint-Gonzalo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8" t="n">
        <v>9</v>
      </c>
      <c r="C50" s="8" t="n">
        <v>27</v>
      </c>
      <c r="D50" s="11" t="n">
        <v>59</v>
      </c>
      <c r="E50" s="12">
        <f>IFERROR(D50/1173.18,"")</f>
        <v/>
      </c>
      <c r="F50" s="12">
        <f>IFERROR(B50/80,"")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8" t="n">
        <v>20</v>
      </c>
      <c r="C51" s="8" t="n">
        <v>53</v>
      </c>
      <c r="D51" s="11" t="n">
        <v>164.5</v>
      </c>
      <c r="E51" s="12">
        <f>IFERROR(D51/1173.18,"")</f>
        <v/>
      </c>
      <c r="F51" s="12">
        <f>IFERROR(B51/80,"")</f>
        <v/>
      </c>
      <c r="G51" s="14" t="inlineStr">
        <is>
          <t>P1 — high priority (see P1 Escalation tab for escalations)</t>
        </is>
      </c>
    </row>
    <row r="52">
      <c r="A52" t="inlineStr">
        <is>
          <t>P2</t>
        </is>
      </c>
      <c r="B52" s="8" t="n">
        <v>23</v>
      </c>
      <c r="C52" s="8" t="n">
        <v>50</v>
      </c>
      <c r="D52" s="11" t="n">
        <v>394.68</v>
      </c>
      <c r="E52" s="12">
        <f>IFERROR(D52/1173.18,"")</f>
        <v/>
      </c>
      <c r="F52" s="12">
        <f>IFERROR(B52/80,"")</f>
        <v/>
      </c>
      <c r="G52" t="inlineStr">
        <is>
          <t>Major</t>
        </is>
      </c>
    </row>
    <row r="53">
      <c r="A53" t="inlineStr">
        <is>
          <t>P3</t>
        </is>
      </c>
      <c r="B53" s="8" t="n">
        <v>27</v>
      </c>
      <c r="C53" s="8" t="n">
        <v>52</v>
      </c>
      <c r="D53" s="11" t="n">
        <v>530</v>
      </c>
      <c r="E53" s="12">
        <f>IFERROR(D53/1173.18,"")</f>
        <v/>
      </c>
      <c r="F53" s="12">
        <f>IFERROR(B53/80,"")</f>
        <v/>
      </c>
      <c r="G53" t="inlineStr">
        <is>
          <t>Standard</t>
        </is>
      </c>
    </row>
    <row r="54">
      <c r="A54" t="inlineStr">
        <is>
          <t>P4</t>
        </is>
      </c>
      <c r="B54" s="8" t="n">
        <v>1</v>
      </c>
      <c r="C54" s="8" t="n">
        <v>2</v>
      </c>
      <c r="D54" s="11" t="n">
        <v>25</v>
      </c>
      <c r="E54" s="12">
        <f>IFERROR(D54/1173.18,"")</f>
        <v/>
      </c>
      <c r="F54" s="12">
        <f>IFERROR(B54/80,"")</f>
        <v/>
      </c>
      <c r="G54" t="inlineStr">
        <is>
          <t>Minor / nice-to-have</t>
        </is>
      </c>
    </row>
    <row r="55">
      <c r="A55" s="2" t="inlineStr">
        <is>
          <t>TOTAL</t>
        </is>
      </c>
      <c r="B55" s="8" t="n">
        <v>80</v>
      </c>
      <c r="C55" s="8" t="n">
        <v>184</v>
      </c>
      <c r="D55" s="11" t="n">
        <v>1173.18</v>
      </c>
      <c r="E55" s="12" t="n">
        <v>1</v>
      </c>
      <c r="F55" s="12" t="n">
        <v>1</v>
      </c>
      <c r="G55" t="inlineStr">
        <is>
          <t>Sum of Completed bucket (core roster)</t>
        </is>
      </c>
    </row>
    <row r="57">
      <c r="A57" s="2" t="inlineStr">
        <is>
          <t>Sprint Completion (spillover = Not Completed)</t>
        </is>
      </c>
    </row>
    <row r="58">
      <c r="A58" s="3" t="inlineStr">
        <is>
          <t>Metric</t>
        </is>
      </c>
      <c r="B58" s="3" t="inlineStr">
        <is>
          <t>Tickets</t>
        </is>
      </c>
      <c r="C58" s="3" t="inlineStr">
        <is>
          <t>Planned Hrs (OE)</t>
        </is>
      </c>
      <c r="D58" s="3" t="inlineStr">
        <is>
          <t>% by Tickets</t>
        </is>
      </c>
      <c r="E58" s="3" t="inlineStr">
        <is>
          <t>% by Hrs</t>
        </is>
      </c>
      <c r="F58" s="3" t="inlineStr">
        <is>
          <t>Notes</t>
        </is>
      </c>
    </row>
    <row r="59">
      <c r="A59" t="inlineStr">
        <is>
          <t>Completed (closed in sprint)</t>
        </is>
      </c>
      <c r="B59" s="8" t="n">
        <v>184</v>
      </c>
      <c r="C59" s="11" t="n">
        <v>1065.52</v>
      </c>
      <c r="D59" s="12">
        <f>IFERROR(184/220,"")</f>
        <v/>
      </c>
      <c r="E59" s="12">
        <f>IFERROR(1065.52/1254.52,"")</f>
        <v/>
      </c>
      <c r="F59" t="inlineStr">
        <is>
          <t>In-sprint deliverables</t>
        </is>
      </c>
    </row>
    <row r="60">
      <c r="A60" t="inlineStr">
        <is>
          <t>Spillover (not completed → carry-over)</t>
        </is>
      </c>
      <c r="B60" s="8" t="n">
        <v>36</v>
      </c>
      <c r="C60" s="11" t="n">
        <v>189</v>
      </c>
      <c r="D60" s="12">
        <f>IFERROR(36/220,"")</f>
        <v/>
      </c>
      <c r="E60" s="12">
        <f>IFERROR(189.0/1254.52,"")</f>
        <v/>
      </c>
      <c r="F60" t="inlineStr">
        <is>
          <t>Original estimate carried to next sprint</t>
        </is>
      </c>
    </row>
    <row r="61">
      <c r="A61" t="inlineStr">
        <is>
          <t>Removed (mid-sprint scope cut)</t>
        </is>
      </c>
      <c r="B61" s="8" t="n">
        <v>6</v>
      </c>
      <c r="C61" s="11" t="n">
        <v>2</v>
      </c>
      <c r="D61" t="inlineStr">
        <is>
          <t>—</t>
        </is>
      </c>
      <c r="E61" t="inlineStr">
        <is>
          <t>—</t>
        </is>
      </c>
      <c r="F61" t="inlineStr">
        <is>
          <t>Excluded from completion ratio (out of scope)</t>
        </is>
      </c>
    </row>
    <row r="62">
      <c r="A62" t="inlineStr">
        <is>
          <t>Mid-sprint additions (core)</t>
        </is>
      </c>
      <c r="B62" s="8" t="n">
        <v>10</v>
      </c>
      <c r="D62" t="inlineStr">
        <is>
          <t>—</t>
        </is>
      </c>
      <c r="E62" t="inlineStr">
        <is>
          <t>—</t>
        </is>
      </c>
      <c r="F62" t="inlineStr">
        <is>
          <t>Late-arriving work (Jira issueKeysAddedDuringSprint)</t>
        </is>
      </c>
    </row>
    <row r="64">
      <c r="A64" s="2" t="inlineStr">
        <is>
          <t>Sprint completion rate (tickets)</t>
        </is>
      </c>
      <c r="B64" s="12" t="n">
        <v>0.8363636363636363</v>
      </c>
      <c r="C64" s="15" t="inlineStr">
        <is>
          <t>Below Target</t>
        </is>
      </c>
      <c r="D64" s="16" t="inlineStr">
        <is>
          <t>Completed ÷ (Completed + Spillover)</t>
        </is>
      </c>
    </row>
    <row r="65">
      <c r="A65" s="2" t="inlineStr">
        <is>
          <t>Sprint completion rate (planned hrs)</t>
        </is>
      </c>
      <c r="B65" s="12" t="n">
        <v>0.84934476931416</v>
      </c>
      <c r="C65" s="15" t="inlineStr">
        <is>
          <t>Below Target</t>
        </is>
      </c>
      <c r="D65" s="16" t="inlineStr">
        <is>
          <t>Σ OE Completed ÷ Σ OE (Completed + Spillover)</t>
        </is>
      </c>
    </row>
    <row r="66">
      <c r="A66" s="2" t="inlineStr">
        <is>
          <t>Planned completion rate (tickets, excludes mid-sprint adds)</t>
        </is>
      </c>
      <c r="B66" s="12" t="n">
        <v>0.8341232227488151</v>
      </c>
      <c r="C66" s="15" t="inlineStr">
        <is>
          <t>Below Target</t>
        </is>
      </c>
      <c r="D66" s="16" t="inlineStr">
        <is>
          <t>Originally-committed tickets only</t>
        </is>
      </c>
    </row>
    <row r="67">
      <c r="A67" s="2" t="inlineStr">
        <is>
          <t>Planned completion rate (planned hrs, excludes mid-sprint adds)</t>
        </is>
      </c>
      <c r="B67" s="12" t="n">
        <v>0.8437951459115862</v>
      </c>
      <c r="C67" s="15" t="inlineStr">
        <is>
          <t>Below Target</t>
        </is>
      </c>
      <c r="D67" s="16" t="inlineStr">
        <is>
          <t>Originally-committed planned hours only</t>
        </is>
      </c>
    </row>
    <row r="69">
      <c r="A69" s="17" t="inlineStr">
        <is>
          <t>P1 Escalation snapshot</t>
        </is>
      </c>
    </row>
    <row r="70">
      <c r="A70" s="14" t="inlineStr">
        <is>
          <t>9 ticket(s) in sprint-Gonzalo match 'P1 Escalation' in the title — 5 closed, 4 still open. See the 'P1 Escalation' tab.</t>
        </is>
      </c>
    </row>
    <row r="72">
      <c r="A72" s="18" t="inlineStr">
        <is>
          <t>Mid-sprint additions snapshot</t>
        </is>
      </c>
    </row>
    <row r="73" ht="36" customHeight="1">
      <c r="A73" s="19" t="inlineStr">
        <is>
          <t>10 ticket(s) were added to sprint-Gonzalo after it started (issueKeysAddedDuringSprint) — Completed 8, Spillover 1, Removed 1. Highlighted in amber on every detail sheet (Added Mid-Sprint = YES).</t>
        </is>
      </c>
    </row>
    <row r="75">
      <c r="A75" s="2" t="inlineStr">
        <is>
          <t>Assumptions &amp; caveats</t>
        </is>
      </c>
    </row>
    <row r="76" ht="32" customHeight="1">
      <c r="A76" s="20" t="inlineStr">
        <is>
          <t>• Sprint window from Jira (/rest/agile/1.0/sprint/5708): 2026-03-31 → 2026-04-13 (10 Mon–Fri working days). Refresh with fetch_filter_sprint_meta.py + fetch_filter_sprint_issues.py.</t>
        </is>
      </c>
    </row>
    <row r="77" ht="32" customHeight="1">
      <c r="A77" s="20" t="inlineStr">
        <is>
          <t>• Issues pulled from FILTER + PTGM + FDSE (project-scope expanded for the India scrum team's split across the three products).</t>
        </is>
      </c>
    </row>
    <row r="78" ht="32" customHeight="1">
      <c r="A78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9" ht="32" customHeight="1">
      <c r="A79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80" ht="32" customHeight="1">
      <c r="A80" s="20" t="inlineStr">
        <is>
          <t>• Net Available = Available − 20% Misc Buffer for meetings, scrums, code review, etc. Completed/Not Completed/Removed % of capacity use Net Available as the denominator.</t>
        </is>
      </c>
    </row>
    <row r="81" ht="32" customHeight="1">
      <c r="A81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2" ht="32" customHeight="1">
      <c r="A82" s="20" t="inlineStr">
        <is>
          <t>• Not Completed and Removed totals use Original Estimate.</t>
        </is>
      </c>
    </row>
    <row r="83" ht="32" customHeight="1">
      <c r="A83" s="20" t="inlineStr">
        <is>
          <t>• Removed list comes from the Sprint Report puntedIssues (greenhopper API).</t>
        </is>
      </c>
    </row>
    <row r="84" ht="32" customHeight="1">
      <c r="A84" s="20" t="inlineStr">
        <is>
          <t>• Core roster only: assignees outside Securly-PjM-Skills.md Part 2 are dropped from per-person + detail sheets.</t>
        </is>
      </c>
    </row>
    <row r="85" ht="32" customHeight="1">
      <c r="A85" s="20" t="inlineStr">
        <is>
          <t>• P1 Escalation tab is filtered to Issue Type = Escape Defect AND Priority = P1 AND title contains 'P1 Escalation'.</t>
        </is>
      </c>
    </row>
    <row r="86" ht="32" customHeight="1">
      <c r="A86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7" ht="32" customHeight="1">
      <c r="A87" s="20" t="inlineStr">
        <is>
          <t>• Spillover = Not Completed bucket (tickets carried into the next sprint).</t>
        </is>
      </c>
    </row>
    <row r="88" ht="32" customHeight="1">
      <c r="A88" s="20" t="inlineStr">
        <is>
          <t>• Sprint completion rate uses Completed ÷ (Completed + Spillover); Removed tickets are excluded (treated as scope cut). 'Planned' rate also excludes mid-sprint additions.</t>
        </is>
      </c>
    </row>
    <row r="89" ht="32" customHeight="1">
      <c r="A89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90" ht="32" customHeight="1">
      <c r="A90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D67:G67"/>
    <mergeCell ref="A81:G81"/>
    <mergeCell ref="A77:G77"/>
    <mergeCell ref="A83:G83"/>
    <mergeCell ref="A48:G48"/>
    <mergeCell ref="A82:G82"/>
    <mergeCell ref="A73:G73"/>
    <mergeCell ref="A1:G1"/>
    <mergeCell ref="D65:G65"/>
    <mergeCell ref="A70:G70"/>
    <mergeCell ref="A79:G79"/>
    <mergeCell ref="A88:G88"/>
    <mergeCell ref="A69:G69"/>
    <mergeCell ref="A87:G87"/>
    <mergeCell ref="A78:G78"/>
    <mergeCell ref="A25:G25"/>
    <mergeCell ref="A90:G90"/>
    <mergeCell ref="A84:G84"/>
    <mergeCell ref="A85:G85"/>
    <mergeCell ref="A89:G89"/>
    <mergeCell ref="A80:G80"/>
    <mergeCell ref="D66:G66"/>
    <mergeCell ref="A2:G2"/>
    <mergeCell ref="A86:G86"/>
    <mergeCell ref="A57:G57"/>
    <mergeCell ref="A76:G76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94</v>
      </c>
      <c r="C2" s="11" t="n">
        <v>48</v>
      </c>
      <c r="D2" s="11" t="n">
        <v>0</v>
      </c>
      <c r="E2" s="12">
        <f>IFERROR(B2/I2,"")</f>
        <v/>
      </c>
      <c r="F2" s="11" t="n">
        <v>72</v>
      </c>
      <c r="G2" s="8" t="n">
        <v>0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69</v>
      </c>
      <c r="C3" s="11" t="n">
        <v>0</v>
      </c>
      <c r="D3" s="11" t="n">
        <v>2</v>
      </c>
      <c r="E3" s="12">
        <f>IFERROR(B3/I3,"")</f>
        <v/>
      </c>
      <c r="F3" s="11" t="n">
        <v>72</v>
      </c>
      <c r="G3" s="8" t="n">
        <v>0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131.5</v>
      </c>
      <c r="C4" s="11" t="n">
        <v>0</v>
      </c>
      <c r="D4" s="11" t="n">
        <v>0</v>
      </c>
      <c r="E4" s="12">
        <f>IFERROR(B4/I4,"")</f>
        <v/>
      </c>
      <c r="F4" s="11" t="n">
        <v>64.8</v>
      </c>
      <c r="G4" s="8" t="n">
        <v>1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0</v>
      </c>
      <c r="C5" s="11" t="n">
        <v>0</v>
      </c>
      <c r="D5" s="11" t="n">
        <v>0</v>
      </c>
      <c r="E5" s="12">
        <f>IFERROR(B5/I5,"")</f>
        <v/>
      </c>
      <c r="F5" s="11" t="n">
        <v>72</v>
      </c>
      <c r="G5" s="8" t="n">
        <v>0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144</v>
      </c>
      <c r="C6" s="11" t="n">
        <v>52</v>
      </c>
      <c r="D6" s="11" t="n">
        <v>0</v>
      </c>
      <c r="E6" s="12">
        <f>IFERROR(B6/I6,"")</f>
        <v/>
      </c>
      <c r="F6" s="11" t="n">
        <v>72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2</v>
      </c>
      <c r="C7" s="11" t="n">
        <v>0</v>
      </c>
      <c r="D7" s="11" t="n">
        <v>0</v>
      </c>
      <c r="E7" s="12">
        <f>IFERROR(B7/I7,"")</f>
        <v/>
      </c>
      <c r="F7" s="11" t="n">
        <v>64.8</v>
      </c>
      <c r="G7" s="8" t="n">
        <v>1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30.5</v>
      </c>
      <c r="C8" s="11" t="n">
        <v>20</v>
      </c>
      <c r="D8" s="11" t="n">
        <v>0</v>
      </c>
      <c r="E8" s="12">
        <f>IFERROR(B8/I8,"")</f>
        <v/>
      </c>
      <c r="F8" s="11" t="n">
        <v>72</v>
      </c>
      <c r="G8" s="8" t="n">
        <v>0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77</v>
      </c>
      <c r="C9" s="11" t="n">
        <v>0</v>
      </c>
      <c r="D9" s="11" t="n">
        <v>0</v>
      </c>
      <c r="E9" s="12">
        <f>IFERROR(B9/I9,"")</f>
        <v/>
      </c>
      <c r="F9" s="11" t="n">
        <v>72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83</v>
      </c>
      <c r="C10" s="11" t="n">
        <v>0</v>
      </c>
      <c r="D10" s="11" t="n">
        <v>0</v>
      </c>
      <c r="E10" s="12">
        <f>IFERROR(B10/I10,"")</f>
        <v/>
      </c>
      <c r="F10" s="11" t="n">
        <v>72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24</v>
      </c>
      <c r="C11" s="11" t="n">
        <v>0</v>
      </c>
      <c r="D11" s="11" t="n">
        <v>0</v>
      </c>
      <c r="E11" s="12">
        <f>IFERROR(B11/I11,"")</f>
        <v/>
      </c>
      <c r="F11" s="11" t="n">
        <v>72</v>
      </c>
      <c r="G11" s="8" t="n">
        <v>0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91</v>
      </c>
      <c r="C12" s="11" t="n">
        <v>0</v>
      </c>
      <c r="D12" s="11" t="n">
        <v>0</v>
      </c>
      <c r="E12" s="12">
        <f>IFERROR(B12/I12,"")</f>
        <v/>
      </c>
      <c r="F12" s="11" t="n">
        <v>72</v>
      </c>
      <c r="G12" s="8" t="n">
        <v>0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50</v>
      </c>
      <c r="C13" s="11" t="n">
        <v>6</v>
      </c>
      <c r="D13" s="11" t="n">
        <v>0</v>
      </c>
      <c r="E13" s="12">
        <f>IFERROR(B13/I13,"")</f>
        <v/>
      </c>
      <c r="F13" s="11" t="n">
        <v>72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159.68</v>
      </c>
      <c r="C14" s="11" t="n">
        <v>0</v>
      </c>
      <c r="D14" s="11" t="n">
        <v>0</v>
      </c>
      <c r="E14" s="12">
        <f>IFERROR(B14/I14,"")</f>
        <v/>
      </c>
      <c r="F14" s="11" t="n">
        <v>64.8</v>
      </c>
      <c r="G14" s="8" t="n">
        <v>1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115</v>
      </c>
      <c r="C15" s="11" t="n">
        <v>0</v>
      </c>
      <c r="D15" s="11" t="n">
        <v>0</v>
      </c>
      <c r="E15" s="12">
        <f>IFERROR(B15/I15,"")</f>
        <v/>
      </c>
      <c r="F15" s="11" t="n">
        <v>72</v>
      </c>
      <c r="G15" s="8" t="n">
        <v>0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56.5</v>
      </c>
      <c r="C16" s="11" t="n">
        <v>7</v>
      </c>
      <c r="D16" s="11" t="n">
        <v>0</v>
      </c>
      <c r="E16" s="12">
        <f>IFERROR(B16/I16,"")</f>
        <v/>
      </c>
      <c r="F16" s="11" t="n">
        <v>57.6</v>
      </c>
      <c r="G16" s="8" t="n">
        <v>2</v>
      </c>
      <c r="H16" s="11">
        <f>F16*0.2</f>
        <v/>
      </c>
      <c r="I16" s="11">
        <f>F16-H16</f>
        <v/>
      </c>
    </row>
    <row r="17">
      <c r="A17" t="inlineStr">
        <is>
          <t>Amol Mithari</t>
        </is>
      </c>
      <c r="B17" s="11" t="n">
        <v>16</v>
      </c>
      <c r="C17" s="11" t="n">
        <v>45</v>
      </c>
      <c r="D17" s="11" t="n">
        <v>0</v>
      </c>
      <c r="E17" s="12">
        <f>IFERROR(B17/I17,"")</f>
        <v/>
      </c>
      <c r="F17" s="11" t="n">
        <v>72</v>
      </c>
      <c r="G17" s="8" t="n">
        <v>0</v>
      </c>
      <c r="H17" s="11">
        <f>F17*0.2</f>
        <v/>
      </c>
      <c r="I17" s="11">
        <f>F17-H17</f>
        <v/>
      </c>
    </row>
    <row r="18">
      <c r="A18" t="inlineStr">
        <is>
          <t>Amit Shete</t>
        </is>
      </c>
      <c r="B18" s="11" t="n">
        <v>30</v>
      </c>
      <c r="C18" s="11" t="n">
        <v>11</v>
      </c>
      <c r="D18" s="11" t="n">
        <v>0</v>
      </c>
      <c r="E18" s="12">
        <f>IFERROR(B18/I18,"")</f>
        <v/>
      </c>
      <c r="F18" s="11" t="n">
        <v>64.8</v>
      </c>
      <c r="G18" s="8" t="n">
        <v>1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Story</t>
        </is>
      </c>
      <c r="B2" s="23" t="inlineStr">
        <is>
          <t>FILTER-11974</t>
        </is>
      </c>
      <c r="C2" s="24" t="inlineStr">
        <is>
          <t>Verify all Image Blur test cases for JS</t>
        </is>
      </c>
      <c r="D2" s="22" t="inlineStr">
        <is>
          <t>FILTER-11972</t>
        </is>
      </c>
      <c r="E2" s="22" t="inlineStr">
        <is>
          <t>Epic</t>
        </is>
      </c>
      <c r="F2" s="22" t="inlineStr">
        <is>
          <t>Altamash Heroli</t>
        </is>
      </c>
      <c r="G2" s="22" t="inlineStr">
        <is>
          <t>Done</t>
        </is>
      </c>
      <c r="H2" s="22" t="inlineStr"/>
      <c r="I2" s="22" t="inlineStr">
        <is>
          <t>P2</t>
        </is>
      </c>
      <c r="J2" s="25" t="n">
        <v>46058</v>
      </c>
      <c r="K2" s="22" t="n"/>
      <c r="L2" s="25" t="n">
        <v>46127</v>
      </c>
      <c r="M2" s="22" t="inlineStr">
        <is>
          <t>sprint-Gonzalo</t>
        </is>
      </c>
      <c r="N2" s="26" t="n">
        <v>55</v>
      </c>
      <c r="O2" s="26" t="n">
        <v>65</v>
      </c>
      <c r="P2" s="22" t="inlineStr">
        <is>
          <t>FILTER</t>
        </is>
      </c>
      <c r="Q2" s="22" t="inlineStr"/>
      <c r="R2" s="22" t="inlineStr"/>
      <c r="S2" s="27" t="inlineStr">
        <is>
          <t>YES</t>
        </is>
      </c>
    </row>
    <row r="3">
      <c r="A3" s="22" t="inlineStr">
        <is>
          <t>Debug</t>
        </is>
      </c>
      <c r="B3" s="23" t="inlineStr">
        <is>
          <t>FILTER-13090</t>
        </is>
      </c>
      <c r="C3" s="24" t="inlineStr">
        <is>
          <t>POC for Aware TAS flow for DNS</t>
        </is>
      </c>
      <c r="D3" s="22" t="inlineStr"/>
      <c r="E3" s="22" t="inlineStr"/>
      <c r="F3" s="22" t="inlineStr">
        <is>
          <t>Ashish Temurnikar</t>
        </is>
      </c>
      <c r="G3" s="22" t="inlineStr">
        <is>
          <t>Resolved</t>
        </is>
      </c>
      <c r="H3" s="22" t="inlineStr"/>
      <c r="I3" s="22" t="inlineStr">
        <is>
          <t>P2</t>
        </is>
      </c>
      <c r="J3" s="25" t="n">
        <v>46113</v>
      </c>
      <c r="K3" s="22" t="n"/>
      <c r="L3" s="25" t="n">
        <v>46125</v>
      </c>
      <c r="M3" s="22" t="inlineStr">
        <is>
          <t>sprint-Gonzalo</t>
        </is>
      </c>
      <c r="N3" s="26" t="n">
        <v>8</v>
      </c>
      <c r="O3" s="26" t="n">
        <v>8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Debug</t>
        </is>
      </c>
      <c r="B4" s="23" t="inlineStr">
        <is>
          <t>FILTER-13022</t>
        </is>
      </c>
      <c r="C4" s="24" t="inlineStr">
        <is>
          <t>[Effort Tracking] - Helping Home Team for the overall architecture of Parent Portal design Revamp and and AI Chat for their dashobard requirement and Accessibility requirements</t>
        </is>
      </c>
      <c r="D4" s="22" t="inlineStr"/>
      <c r="E4" s="22" t="inlineStr"/>
      <c r="F4" s="22" t="inlineStr">
        <is>
          <t>Harsh Verma</t>
        </is>
      </c>
      <c r="G4" s="22" t="inlineStr">
        <is>
          <t>Resolved</t>
        </is>
      </c>
      <c r="H4" s="22" t="inlineStr"/>
      <c r="I4" s="22" t="inlineStr">
        <is>
          <t>P3</t>
        </is>
      </c>
      <c r="J4" s="25" t="n">
        <v>46112</v>
      </c>
      <c r="K4" s="22" t="n"/>
      <c r="L4" s="25" t="n">
        <v>46125</v>
      </c>
      <c r="M4" s="22" t="inlineStr">
        <is>
          <t>sprint-Gonzalo</t>
        </is>
      </c>
      <c r="N4" s="26" t="n">
        <v>30</v>
      </c>
      <c r="O4" s="26" t="n">
        <v>32</v>
      </c>
      <c r="P4" s="22" t="inlineStr">
        <is>
          <t>FILTER</t>
        </is>
      </c>
      <c r="Q4" s="22" t="inlineStr"/>
      <c r="R4" s="22" t="inlineStr"/>
      <c r="S4" s="27" t="inlineStr">
        <is>
          <t>YES</t>
        </is>
      </c>
    </row>
    <row r="5">
      <c r="A5" s="22" t="inlineStr">
        <is>
          <t>Debug</t>
        </is>
      </c>
      <c r="B5" s="23" t="inlineStr">
        <is>
          <t>FILTER-13023</t>
        </is>
      </c>
      <c r="C5" s="24" t="inlineStr">
        <is>
          <t>[Effort Tracking] Helping classroom team for PR review and Technical discussions</t>
        </is>
      </c>
      <c r="D5" s="22" t="inlineStr"/>
      <c r="E5" s="22" t="inlineStr"/>
      <c r="F5" s="22" t="inlineStr">
        <is>
          <t>Harsh Verma</t>
        </is>
      </c>
      <c r="G5" s="22" t="inlineStr">
        <is>
          <t>Resolved</t>
        </is>
      </c>
      <c r="H5" s="22" t="inlineStr"/>
      <c r="I5" s="22" t="inlineStr">
        <is>
          <t>P3</t>
        </is>
      </c>
      <c r="J5" s="25" t="n">
        <v>46112</v>
      </c>
      <c r="K5" s="22" t="n"/>
      <c r="L5" s="25" t="n">
        <v>46125</v>
      </c>
      <c r="M5" s="22" t="inlineStr">
        <is>
          <t>sprint-Gonzalo</t>
        </is>
      </c>
      <c r="N5" s="26" t="n">
        <v>4</v>
      </c>
      <c r="O5" s="26" t="n">
        <v>4</v>
      </c>
      <c r="P5" s="22" t="inlineStr">
        <is>
          <t>FILTER</t>
        </is>
      </c>
      <c r="Q5" s="22" t="inlineStr"/>
      <c r="R5" s="22" t="inlineStr"/>
      <c r="S5" s="27" t="inlineStr">
        <is>
          <t>YES</t>
        </is>
      </c>
    </row>
    <row r="6">
      <c r="A6" s="22" t="inlineStr">
        <is>
          <t>Debug</t>
        </is>
      </c>
      <c r="B6" s="23" t="inlineStr">
        <is>
          <t>FILTER-13502</t>
        </is>
      </c>
      <c r="C6" s="24" t="inlineStr">
        <is>
          <t>[Effort tracking] - Add Cusror implementation and visual regression in Desisgn System component</t>
        </is>
      </c>
      <c r="D6" s="22" t="inlineStr"/>
      <c r="E6" s="22" t="inlineStr"/>
      <c r="F6" s="22" t="inlineStr">
        <is>
          <t>Harsh Verma</t>
        </is>
      </c>
      <c r="G6" s="22" t="inlineStr">
        <is>
          <t>Resolved</t>
        </is>
      </c>
      <c r="H6" s="22" t="inlineStr"/>
      <c r="I6" s="22" t="inlineStr">
        <is>
          <t>P2</t>
        </is>
      </c>
      <c r="J6" s="25" t="n">
        <v>46125</v>
      </c>
      <c r="K6" s="22" t="n"/>
      <c r="L6" s="25" t="n">
        <v>46125</v>
      </c>
      <c r="M6" s="22" t="inlineStr">
        <is>
          <t>sprint-Gonzalo</t>
        </is>
      </c>
      <c r="N6" s="26" t="n">
        <v>24</v>
      </c>
      <c r="O6" s="26" t="n">
        <v>20</v>
      </c>
      <c r="P6" s="22" t="inlineStr">
        <is>
          <t>FILTER</t>
        </is>
      </c>
      <c r="Q6" s="22" t="inlineStr">
        <is>
          <t>unplanned-sprint</t>
        </is>
      </c>
      <c r="R6" s="22" t="inlineStr"/>
      <c r="S6" s="27" t="inlineStr">
        <is>
          <t>YES</t>
        </is>
      </c>
    </row>
    <row r="7">
      <c r="A7" s="22" t="inlineStr">
        <is>
          <t>Task</t>
        </is>
      </c>
      <c r="B7" s="23" t="inlineStr">
        <is>
          <t>FILTER-13339</t>
        </is>
      </c>
      <c r="C7" s="24" t="inlineStr">
        <is>
          <t>When Policy Name is empty, UI breaks as key is undefined</t>
        </is>
      </c>
      <c r="D7" s="22" t="inlineStr"/>
      <c r="E7" s="22" t="inlineStr"/>
      <c r="F7" s="22" t="inlineStr">
        <is>
          <t>Harshada Kude</t>
        </is>
      </c>
      <c r="G7" s="22" t="inlineStr">
        <is>
          <t>Closed</t>
        </is>
      </c>
      <c r="H7" s="22" t="inlineStr">
        <is>
          <t>Fixed</t>
        </is>
      </c>
      <c r="I7" s="22" t="inlineStr">
        <is>
          <t>P2</t>
        </is>
      </c>
      <c r="J7" s="25" t="n">
        <v>46120</v>
      </c>
      <c r="K7" s="25" t="n">
        <v>46120</v>
      </c>
      <c r="L7" s="25" t="n">
        <v>46133</v>
      </c>
      <c r="M7" s="22" t="inlineStr">
        <is>
          <t>sprint-Gonzalo</t>
        </is>
      </c>
      <c r="N7" s="26" t="n">
        <v>2</v>
      </c>
      <c r="O7" s="26" t="n">
        <v>2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Escape Defect</t>
        </is>
      </c>
      <c r="B8" s="23" t="inlineStr">
        <is>
          <t>FILTER-13360</t>
        </is>
      </c>
      <c r="C8" s="24" t="inlineStr">
        <is>
          <t>P0 Escalation- Investigate and fix 'identifier at index 0 is empty' errors from tokenization-service</t>
        </is>
      </c>
      <c r="D8" s="22" t="inlineStr"/>
      <c r="E8" s="22" t="inlineStr"/>
      <c r="F8" s="22" t="inlineStr">
        <is>
          <t>Prateek Fotedar</t>
        </is>
      </c>
      <c r="G8" s="22" t="inlineStr">
        <is>
          <t>RELEASED TO PROD</t>
        </is>
      </c>
      <c r="H8" s="22" t="inlineStr">
        <is>
          <t>Fixed</t>
        </is>
      </c>
      <c r="I8" s="22" t="inlineStr">
        <is>
          <t>P0</t>
        </is>
      </c>
      <c r="J8" s="25" t="n">
        <v>46120</v>
      </c>
      <c r="K8" s="25" t="n">
        <v>46121</v>
      </c>
      <c r="L8" s="25" t="n">
        <v>46127</v>
      </c>
      <c r="M8" s="22" t="inlineStr">
        <is>
          <t>sprint-Gonzalo</t>
        </is>
      </c>
      <c r="N8" s="26" t="n">
        <v>1</v>
      </c>
      <c r="O8" s="26" t="n">
        <v>0</v>
      </c>
      <c r="P8" s="22" t="inlineStr">
        <is>
          <t>FILTER</t>
        </is>
      </c>
      <c r="Q8" s="22" t="inlineStr">
        <is>
          <t>p0escalation, unplanned-sprint</t>
        </is>
      </c>
      <c r="R8" s="22" t="inlineStr"/>
      <c r="S8" s="27" t="inlineStr">
        <is>
          <t>YES</t>
        </is>
      </c>
    </row>
    <row r="9">
      <c r="A9" s="22" t="inlineStr">
        <is>
          <t>Task</t>
        </is>
      </c>
      <c r="B9" s="23" t="inlineStr">
        <is>
          <t>FILTER-13080</t>
        </is>
      </c>
      <c r="C9" s="24" t="inlineStr">
        <is>
          <t>Generate context for filter</t>
        </is>
      </c>
      <c r="D9" s="22" t="inlineStr">
        <is>
          <t>FILTER-12341</t>
        </is>
      </c>
      <c r="E9" s="22" t="inlineStr">
        <is>
          <t>Epic</t>
        </is>
      </c>
      <c r="F9" s="22" t="inlineStr">
        <is>
          <t>Vaibhav Kumbhar</t>
        </is>
      </c>
      <c r="G9" s="22" t="inlineStr">
        <is>
          <t>Code Review</t>
        </is>
      </c>
      <c r="H9" s="22" t="inlineStr">
        <is>
          <t>Fixed</t>
        </is>
      </c>
      <c r="I9" s="22" t="inlineStr">
        <is>
          <t>P3</t>
        </is>
      </c>
      <c r="J9" s="25" t="n">
        <v>46113</v>
      </c>
      <c r="K9" s="25" t="n">
        <v>46139</v>
      </c>
      <c r="L9" s="25" t="n">
        <v>46139</v>
      </c>
      <c r="M9" s="22" t="inlineStr">
        <is>
          <t>sprint-Gonzalo</t>
        </is>
      </c>
      <c r="N9" s="26" t="n">
        <v>2</v>
      </c>
      <c r="O9" s="26" t="n">
        <v>0</v>
      </c>
      <c r="P9" s="22" t="inlineStr">
        <is>
          <t>FILTER</t>
        </is>
      </c>
      <c r="Q9" s="22" t="inlineStr">
        <is>
          <t>unplanned-sprint</t>
        </is>
      </c>
      <c r="R9" s="22" t="inlineStr"/>
      <c r="S9" s="27" t="inlineStr">
        <is>
          <t>YES</t>
        </is>
      </c>
    </row>
    <row r="10">
      <c r="A10" t="inlineStr">
        <is>
          <t>QA</t>
        </is>
      </c>
      <c r="B10" s="28" t="inlineStr">
        <is>
          <t>FILTER-12166</t>
        </is>
      </c>
      <c r="C10" s="20" t="inlineStr">
        <is>
          <t>Filter blocks W3Schools-style sandbox bypass via CDN/iframe (jsdelivr, Vercel, W3Spaces)</t>
        </is>
      </c>
      <c r="D10" t="inlineStr">
        <is>
          <t>FILTER-12093</t>
        </is>
      </c>
      <c r="E10" t="inlineStr">
        <is>
          <t>Escape Defect</t>
        </is>
      </c>
      <c r="F10" t="inlineStr">
        <is>
          <t>Altamash Heroli</t>
        </is>
      </c>
      <c r="G10" t="inlineStr">
        <is>
          <t>Done</t>
        </is>
      </c>
      <c r="H10" t="inlineStr"/>
      <c r="I10" t="inlineStr">
        <is>
          <t>P1</t>
        </is>
      </c>
      <c r="J10" s="29" t="n">
        <v>46077</v>
      </c>
      <c r="L10" s="29" t="n">
        <v>46118</v>
      </c>
      <c r="M10" t="inlineStr">
        <is>
          <t>sprint-Gonzalo</t>
        </is>
      </c>
      <c r="N10" s="11" t="n">
        <v>5</v>
      </c>
      <c r="O10" s="11" t="n">
        <v>6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QA</t>
        </is>
      </c>
      <c r="B11" s="28" t="inlineStr">
        <is>
          <t>FILTER-12287</t>
        </is>
      </c>
      <c r="C11" s="20" t="inlineStr">
        <is>
          <t>Verify all Image Blur test cases for JS</t>
        </is>
      </c>
      <c r="D11" t="inlineStr">
        <is>
          <t>FILTER-11974</t>
        </is>
      </c>
      <c r="E11" t="inlineStr">
        <is>
          <t>Story</t>
        </is>
      </c>
      <c r="F11" t="inlineStr">
        <is>
          <t>Altamash Heroli</t>
        </is>
      </c>
      <c r="G11" t="inlineStr">
        <is>
          <t>Done</t>
        </is>
      </c>
      <c r="H11" t="inlineStr"/>
      <c r="I11" t="inlineStr">
        <is>
          <t>P3</t>
        </is>
      </c>
      <c r="J11" s="29" t="n">
        <v>46080</v>
      </c>
      <c r="L11" s="29" t="n">
        <v>46124</v>
      </c>
      <c r="M11" t="inlineStr">
        <is>
          <t>sprint-Gonzalo</t>
        </is>
      </c>
      <c r="N11" s="11" t="n">
        <v>55</v>
      </c>
      <c r="O11" s="11" t="n">
        <v>65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QA</t>
        </is>
      </c>
      <c r="B12" s="28" t="inlineStr">
        <is>
          <t>FILTER-12325</t>
        </is>
      </c>
      <c r="C12" s="20" t="inlineStr">
        <is>
          <t>QA- BugCrowd-850af9c1-f86b-4c74-91ac-94ea808c8e9b-Deleted User to Continue Performing Privileged Actions (Account Deletion Bypass)</t>
        </is>
      </c>
      <c r="D12" t="inlineStr">
        <is>
          <t>FILTER-12323</t>
        </is>
      </c>
      <c r="E12" t="inlineStr">
        <is>
          <t>Defect</t>
        </is>
      </c>
      <c r="F12" t="inlineStr">
        <is>
          <t>Altamash Heroli</t>
        </is>
      </c>
      <c r="G12" t="inlineStr">
        <is>
          <t>QA Verified</t>
        </is>
      </c>
      <c r="H12" t="inlineStr"/>
      <c r="I12" t="inlineStr">
        <is>
          <t>P3</t>
        </is>
      </c>
      <c r="J12" s="29" t="n">
        <v>46083</v>
      </c>
      <c r="L12" s="29" t="n">
        <v>46136</v>
      </c>
      <c r="M12" t="inlineStr">
        <is>
          <t>sprint-Gonzalo</t>
        </is>
      </c>
      <c r="N12" s="11" t="n">
        <v>12</v>
      </c>
      <c r="O12" s="11" t="n">
        <v>4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QA</t>
        </is>
      </c>
      <c r="B13" s="28" t="inlineStr">
        <is>
          <t>FILTER-12407</t>
        </is>
      </c>
      <c r="C13" s="20" t="inlineStr">
        <is>
          <t>QA- Duplicate policies appearing in Policy editor.</t>
        </is>
      </c>
      <c r="D13" t="inlineStr">
        <is>
          <t>FILTER-12405</t>
        </is>
      </c>
      <c r="E13" t="inlineStr">
        <is>
          <t>Escape Defect</t>
        </is>
      </c>
      <c r="F13" t="inlineStr">
        <is>
          <t>Altamash Heroli</t>
        </is>
      </c>
      <c r="G13" t="inlineStr">
        <is>
          <t>Closed without action</t>
        </is>
      </c>
      <c r="H13" t="inlineStr"/>
      <c r="I13" t="inlineStr">
        <is>
          <t>P3</t>
        </is>
      </c>
      <c r="J13" s="29" t="n">
        <v>46091</v>
      </c>
      <c r="L13" s="29" t="n">
        <v>46118</v>
      </c>
      <c r="M13" t="inlineStr">
        <is>
          <t>sprint-Gonzalo</t>
        </is>
      </c>
      <c r="N13" s="11" t="n">
        <v>0</v>
      </c>
      <c r="O13" s="11" t="n">
        <v>0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QA</t>
        </is>
      </c>
      <c r="B14" s="28" t="inlineStr">
        <is>
          <t>FILTER-12528</t>
        </is>
      </c>
      <c r="C14" s="20" t="inlineStr">
        <is>
          <t>Verify Translations for Spanish &amp; French</t>
        </is>
      </c>
      <c r="D14" t="inlineStr">
        <is>
          <t>FILTER-12293</t>
        </is>
      </c>
      <c r="E14" t="inlineStr">
        <is>
          <t>Story</t>
        </is>
      </c>
      <c r="F14" t="inlineStr">
        <is>
          <t>Altamash Heroli</t>
        </is>
      </c>
      <c r="G14" t="inlineStr">
        <is>
          <t>Done</t>
        </is>
      </c>
      <c r="H14" t="inlineStr"/>
      <c r="I14" t="inlineStr">
        <is>
          <t>P3</t>
        </is>
      </c>
      <c r="J14" s="29" t="n">
        <v>46098</v>
      </c>
      <c r="L14" s="29" t="n">
        <v>46133</v>
      </c>
      <c r="M14" t="inlineStr">
        <is>
          <t>sprint-Gonzalo</t>
        </is>
      </c>
      <c r="N14" s="11" t="n">
        <v>6</v>
      </c>
      <c r="O14" s="11" t="n">
        <v>6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QA</t>
        </is>
      </c>
      <c r="B15" s="28" t="inlineStr">
        <is>
          <t>FILTER-12529</t>
        </is>
      </c>
      <c r="C15" s="20" t="inlineStr">
        <is>
          <t>Verify Consumption of json Translations in Settings</t>
        </is>
      </c>
      <c r="D15" t="inlineStr">
        <is>
          <t>FILTER-12305</t>
        </is>
      </c>
      <c r="E15" t="inlineStr">
        <is>
          <t>Story</t>
        </is>
      </c>
      <c r="F15" t="inlineStr">
        <is>
          <t>Altamash Heroli</t>
        </is>
      </c>
      <c r="G15" t="inlineStr">
        <is>
          <t>QA Verified</t>
        </is>
      </c>
      <c r="H15" t="inlineStr"/>
      <c r="I15" t="inlineStr">
        <is>
          <t>P3</t>
        </is>
      </c>
      <c r="J15" s="29" t="n">
        <v>46098</v>
      </c>
      <c r="L15" s="29" t="n">
        <v>46121</v>
      </c>
      <c r="M15" t="inlineStr">
        <is>
          <t>sprint-Gonzalo</t>
        </is>
      </c>
      <c r="N15" s="11" t="n">
        <v>0.5</v>
      </c>
      <c r="O15" s="11" t="n">
        <v>3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QA</t>
        </is>
      </c>
      <c r="B16" s="28" t="inlineStr">
        <is>
          <t>FILTER-12530</t>
        </is>
      </c>
      <c r="C16" s="20" t="inlineStr">
        <is>
          <t>Verify  Consumption of json Translations in Policy Map</t>
        </is>
      </c>
      <c r="D16" t="inlineStr">
        <is>
          <t>FILTER-12307</t>
        </is>
      </c>
      <c r="E16" t="inlineStr">
        <is>
          <t>Story</t>
        </is>
      </c>
      <c r="F16" t="inlineStr">
        <is>
          <t>Altamash Heroli</t>
        </is>
      </c>
      <c r="G16" t="inlineStr">
        <is>
          <t>QA Verified</t>
        </is>
      </c>
      <c r="H16" t="inlineStr"/>
      <c r="I16" t="inlineStr">
        <is>
          <t>P3</t>
        </is>
      </c>
      <c r="J16" s="29" t="n">
        <v>46098</v>
      </c>
      <c r="L16" s="29" t="n">
        <v>46121</v>
      </c>
      <c r="M16" t="inlineStr">
        <is>
          <t>sprint-Gonzalo</t>
        </is>
      </c>
      <c r="N16" s="11" t="n">
        <v>0.5</v>
      </c>
      <c r="O16" s="11" t="n">
        <v>6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8" t="inlineStr">
        <is>
          <t>FILTER-12531</t>
        </is>
      </c>
      <c r="C17" s="20" t="inlineStr">
        <is>
          <t>Cross check Filter Application Other Remaining instances of | translate or instant</t>
        </is>
      </c>
      <c r="D17" t="inlineStr">
        <is>
          <t>FILTER-12311</t>
        </is>
      </c>
      <c r="E17" t="inlineStr">
        <is>
          <t>Story</t>
        </is>
      </c>
      <c r="F17" t="inlineStr">
        <is>
          <t>Altamash Heroli</t>
        </is>
      </c>
      <c r="G17" t="inlineStr">
        <is>
          <t>QA Verified</t>
        </is>
      </c>
      <c r="H17" t="inlineStr"/>
      <c r="I17" t="inlineStr">
        <is>
          <t>P3</t>
        </is>
      </c>
      <c r="J17" s="29" t="n">
        <v>46098</v>
      </c>
      <c r="L17" s="29" t="n">
        <v>46121</v>
      </c>
      <c r="M17" t="inlineStr">
        <is>
          <t>sprint-Gonzalo</t>
        </is>
      </c>
      <c r="N17" s="11" t="n">
        <v>0.5</v>
      </c>
      <c r="O17" s="11" t="n">
        <v>10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QA</t>
        </is>
      </c>
      <c r="B18" s="28" t="inlineStr">
        <is>
          <t>FILTER-12535</t>
        </is>
      </c>
      <c r="C18" s="20" t="inlineStr">
        <is>
          <t xml:space="preserve">QA - Build IP lookup tool to make queries across all clusters. </t>
        </is>
      </c>
      <c r="D18" t="inlineStr">
        <is>
          <t>FILTER-12396</t>
        </is>
      </c>
      <c r="E18" t="inlineStr">
        <is>
          <t>Task</t>
        </is>
      </c>
      <c r="F18" t="inlineStr">
        <is>
          <t>Altamash Heroli</t>
        </is>
      </c>
      <c r="G18" t="inlineStr">
        <is>
          <t>Done</t>
        </is>
      </c>
      <c r="H18" t="inlineStr"/>
      <c r="I18" t="inlineStr">
        <is>
          <t>P1</t>
        </is>
      </c>
      <c r="J18" s="29" t="n">
        <v>46098</v>
      </c>
      <c r="L18" s="29" t="n">
        <v>46133</v>
      </c>
      <c r="M18" t="inlineStr">
        <is>
          <t>sprint-Gonzalo</t>
        </is>
      </c>
      <c r="N18" s="11" t="n">
        <v>4</v>
      </c>
      <c r="O18" s="11" t="n">
        <v>6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FILTER-12782</t>
        </is>
      </c>
      <c r="C19" s="20" t="inlineStr">
        <is>
          <t>QA- Safety Console. Image blur. Confirmation popup does not have text in it and is not functional</t>
        </is>
      </c>
      <c r="D19" t="inlineStr">
        <is>
          <t>FILTER-12780</t>
        </is>
      </c>
      <c r="E19" t="inlineStr">
        <is>
          <t>Defect</t>
        </is>
      </c>
      <c r="F19" t="inlineStr">
        <is>
          <t>Altamash Heroli</t>
        </is>
      </c>
      <c r="G19" t="inlineStr">
        <is>
          <t>QA Verified</t>
        </is>
      </c>
      <c r="H19" t="inlineStr"/>
      <c r="I19" t="inlineStr">
        <is>
          <t>P3</t>
        </is>
      </c>
      <c r="J19" s="29" t="n">
        <v>46108</v>
      </c>
      <c r="L19" s="29" t="n">
        <v>46121</v>
      </c>
      <c r="M19" t="inlineStr">
        <is>
          <t>sprint-Gonzalo</t>
        </is>
      </c>
      <c r="N19" s="11" t="n">
        <v>1</v>
      </c>
      <c r="O19" s="11" t="n">
        <v>1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FILTER-12790</t>
        </is>
      </c>
      <c r="C20" s="20" t="inlineStr">
        <is>
          <t>QA- Safety Console. Allow/Block Search terms. Even terms added as contains are getting added as Exact</t>
        </is>
      </c>
      <c r="D20" t="inlineStr">
        <is>
          <t>FILTER-12788</t>
        </is>
      </c>
      <c r="E20" t="inlineStr">
        <is>
          <t>Defect</t>
        </is>
      </c>
      <c r="F20" t="inlineStr">
        <is>
          <t>Altamash Heroli</t>
        </is>
      </c>
      <c r="G20" t="inlineStr">
        <is>
          <t>Done</t>
        </is>
      </c>
      <c r="H20" t="inlineStr"/>
      <c r="I20" t="inlineStr">
        <is>
          <t>P1</t>
        </is>
      </c>
      <c r="J20" s="29" t="n">
        <v>46108</v>
      </c>
      <c r="L20" s="29" t="n">
        <v>46133</v>
      </c>
      <c r="M20" t="inlineStr">
        <is>
          <t>sprint-Gonzalo</t>
        </is>
      </c>
      <c r="N20" s="11" t="n">
        <v>1</v>
      </c>
      <c r="O20" s="11" t="n">
        <v>1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FILTER-12866</t>
        </is>
      </c>
      <c r="C21" s="20" t="inlineStr">
        <is>
          <t>QA- Support Tool &gt;&gt; Custom list UI. Custom List table &gt;&gt; "Last updated by" field is not showing value for every list</t>
        </is>
      </c>
      <c r="D21" t="inlineStr">
        <is>
          <t>FILTER-12864</t>
        </is>
      </c>
      <c r="E21" t="inlineStr">
        <is>
          <t>Defect</t>
        </is>
      </c>
      <c r="F21" t="inlineStr">
        <is>
          <t>Altamash Heroli</t>
        </is>
      </c>
      <c r="G21" t="inlineStr">
        <is>
          <t>Closed without action</t>
        </is>
      </c>
      <c r="H21" t="inlineStr"/>
      <c r="I21" t="inlineStr">
        <is>
          <t>P2</t>
        </is>
      </c>
      <c r="J21" s="29" t="n">
        <v>46108</v>
      </c>
      <c r="L21" s="29" t="n">
        <v>46140</v>
      </c>
      <c r="M21" t="inlineStr">
        <is>
          <t>sprint-Gonzalo</t>
        </is>
      </c>
      <c r="N21" s="11" t="n">
        <v>0</v>
      </c>
      <c r="O21" s="11" t="n">
        <v>0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FILTER-12870</t>
        </is>
      </c>
      <c r="C22" s="20" t="inlineStr">
        <is>
          <t>QA- Support Tool &gt;&gt; Custom list UI. Custom List table &gt;&gt; we are able to see global lists which are created by non support tool users as well</t>
        </is>
      </c>
      <c r="D22" t="inlineStr">
        <is>
          <t>FILTER-12868</t>
        </is>
      </c>
      <c r="E22" t="inlineStr">
        <is>
          <t>Defect</t>
        </is>
      </c>
      <c r="F22" t="inlineStr">
        <is>
          <t>Altamash Heroli</t>
        </is>
      </c>
      <c r="G22" t="inlineStr">
        <is>
          <t>QA Verified</t>
        </is>
      </c>
      <c r="H22" t="inlineStr"/>
      <c r="I22" t="inlineStr">
        <is>
          <t>P1</t>
        </is>
      </c>
      <c r="J22" s="29" t="n">
        <v>46108</v>
      </c>
      <c r="L22" s="29" t="n">
        <v>46134</v>
      </c>
      <c r="M22" t="inlineStr">
        <is>
          <t>sprint-Gonzalo</t>
        </is>
      </c>
      <c r="N22" s="11" t="n">
        <v>0.5</v>
      </c>
      <c r="O22" s="11" t="n">
        <v>1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QA</t>
        </is>
      </c>
      <c r="B23" s="28" t="inlineStr">
        <is>
          <t>FILTER-12894</t>
        </is>
      </c>
      <c r="C23" s="20" t="inlineStr">
        <is>
          <t>QA- Support Tool &gt;&gt; Custom list UI. Create custom list and Edit custom list, pages error message is not explanatory for more than 255 character length</t>
        </is>
      </c>
      <c r="D23" t="inlineStr">
        <is>
          <t>FILTER-12892</t>
        </is>
      </c>
      <c r="E23" t="inlineStr">
        <is>
          <t>Defect</t>
        </is>
      </c>
      <c r="F23" t="inlineStr">
        <is>
          <t>Altamash Heroli</t>
        </is>
      </c>
      <c r="G23" t="inlineStr">
        <is>
          <t>QA Verified</t>
        </is>
      </c>
      <c r="H23" t="inlineStr"/>
      <c r="I23" t="inlineStr">
        <is>
          <t>P2</t>
        </is>
      </c>
      <c r="J23" s="29" t="n">
        <v>46108</v>
      </c>
      <c r="L23" s="29" t="n">
        <v>46132</v>
      </c>
      <c r="M23" t="inlineStr">
        <is>
          <t>sprint-Gonzalo</t>
        </is>
      </c>
      <c r="N23" s="11" t="n">
        <v>0.33</v>
      </c>
      <c r="O23" s="11" t="n">
        <v>1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QA</t>
        </is>
      </c>
      <c r="B24" s="28" t="inlineStr">
        <is>
          <t>FILTER-12898</t>
        </is>
      </c>
      <c r="C24" s="20" t="inlineStr">
        <is>
          <t>QA- Support Tool &gt;&gt; Custom list UI. Create custom list Resource and Update custom list Resource, drawer should validated for comment length on Save of that drawer</t>
        </is>
      </c>
      <c r="D24" t="inlineStr">
        <is>
          <t>FILTER-12896</t>
        </is>
      </c>
      <c r="E24" t="inlineStr">
        <is>
          <t>Defect</t>
        </is>
      </c>
      <c r="F24" t="inlineStr">
        <is>
          <t>Altamash Heroli</t>
        </is>
      </c>
      <c r="G24" t="inlineStr">
        <is>
          <t>QA Verified</t>
        </is>
      </c>
      <c r="H24" t="inlineStr"/>
      <c r="I24" t="inlineStr">
        <is>
          <t>P2</t>
        </is>
      </c>
      <c r="J24" s="29" t="n">
        <v>46108</v>
      </c>
      <c r="L24" s="29" t="n">
        <v>46132</v>
      </c>
      <c r="M24" t="inlineStr">
        <is>
          <t>sprint-Gonzalo</t>
        </is>
      </c>
      <c r="N24" s="11" t="n">
        <v>0.33</v>
      </c>
      <c r="O24" s="11" t="n">
        <v>1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QA</t>
        </is>
      </c>
      <c r="B25" s="28" t="inlineStr">
        <is>
          <t>FILTER-12902</t>
        </is>
      </c>
      <c r="C25" s="20" t="inlineStr">
        <is>
          <t>QA- Support Tool &gt;&gt; Custom list UI. Create custom list and Edit custom list, pages error message is not explanatory for duplicate Custom list name</t>
        </is>
      </c>
      <c r="D25" t="inlineStr">
        <is>
          <t>FILTER-12900</t>
        </is>
      </c>
      <c r="E25" t="inlineStr">
        <is>
          <t>Defect</t>
        </is>
      </c>
      <c r="F25" t="inlineStr">
        <is>
          <t>Altamash Heroli</t>
        </is>
      </c>
      <c r="G25" t="inlineStr">
        <is>
          <t>QA Verified</t>
        </is>
      </c>
      <c r="H25" t="inlineStr"/>
      <c r="I25" t="inlineStr">
        <is>
          <t>P2</t>
        </is>
      </c>
      <c r="J25" s="29" t="n">
        <v>46108</v>
      </c>
      <c r="L25" s="29" t="n">
        <v>46133</v>
      </c>
      <c r="M25" t="inlineStr">
        <is>
          <t>sprint-Gonzalo</t>
        </is>
      </c>
      <c r="N25" s="11" t="n">
        <v>0.5</v>
      </c>
      <c r="O25" s="11" t="n">
        <v>1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QA</t>
        </is>
      </c>
      <c r="B26" s="28" t="inlineStr">
        <is>
          <t>FILTER-12914</t>
        </is>
      </c>
      <c r="C26" s="20" t="inlineStr">
        <is>
          <t>QA- Safety Console &gt;&gt; Allow/Block URL. Weird wildcards are not showing ! mark</t>
        </is>
      </c>
      <c r="D26" t="inlineStr">
        <is>
          <t>FILTER-12912</t>
        </is>
      </c>
      <c r="E26" t="inlineStr">
        <is>
          <t>Defect</t>
        </is>
      </c>
      <c r="F26" t="inlineStr">
        <is>
          <t>Altamash Heroli</t>
        </is>
      </c>
      <c r="G26" t="inlineStr">
        <is>
          <t>Closed without action</t>
        </is>
      </c>
      <c r="H26" t="inlineStr"/>
      <c r="I26" t="inlineStr">
        <is>
          <t>P1</t>
        </is>
      </c>
      <c r="J26" s="29" t="n">
        <v>46108</v>
      </c>
      <c r="L26" s="29" t="n">
        <v>46126</v>
      </c>
      <c r="M26" t="inlineStr">
        <is>
          <t>sprint-Gonzalo</t>
        </is>
      </c>
      <c r="N26" s="11" t="n">
        <v>0</v>
      </c>
      <c r="O26" s="11" t="n">
        <v>0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QA</t>
        </is>
      </c>
      <c r="B27" s="28" t="inlineStr">
        <is>
          <t>FILTER-12975</t>
        </is>
      </c>
      <c r="C27" s="20" t="inlineStr">
        <is>
          <t>QA- Safety Console &gt;&gt; Activities. More more info Popup does not have Search, Site, Public IP, Block and Allow buttons translated</t>
        </is>
      </c>
      <c r="D27" t="inlineStr">
        <is>
          <t>FILTER-12973</t>
        </is>
      </c>
      <c r="E27" t="inlineStr">
        <is>
          <t>Escape Defect</t>
        </is>
      </c>
      <c r="F27" t="inlineStr">
        <is>
          <t>Altamash Heroli</t>
        </is>
      </c>
      <c r="G27" t="inlineStr">
        <is>
          <t>Done</t>
        </is>
      </c>
      <c r="H27" t="inlineStr"/>
      <c r="I27" t="inlineStr">
        <is>
          <t>P2</t>
        </is>
      </c>
      <c r="J27" s="29" t="n">
        <v>46111</v>
      </c>
      <c r="L27" s="29" t="n">
        <v>46133</v>
      </c>
      <c r="M27" t="inlineStr">
        <is>
          <t>sprint-Gonzalo</t>
        </is>
      </c>
      <c r="N27" s="11" t="n">
        <v>1</v>
      </c>
      <c r="O27" s="11" t="n">
        <v>1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QA</t>
        </is>
      </c>
      <c r="B28" s="28" t="inlineStr">
        <is>
          <t>FILTER-13101</t>
        </is>
      </c>
      <c r="C28" s="20" t="inlineStr">
        <is>
          <t>QA- (Not in Pkg 41) Support Tool &gt;&gt; Custom list UI. Not able to create Custom list</t>
        </is>
      </c>
      <c r="D28" t="inlineStr">
        <is>
          <t>FILTER-13099</t>
        </is>
      </c>
      <c r="E28" t="inlineStr">
        <is>
          <t>Defect</t>
        </is>
      </c>
      <c r="F28" t="inlineStr">
        <is>
          <t>Altamash Heroli</t>
        </is>
      </c>
      <c r="G28" t="inlineStr">
        <is>
          <t>Done</t>
        </is>
      </c>
      <c r="H28" t="inlineStr"/>
      <c r="I28" t="inlineStr">
        <is>
          <t>P1</t>
        </is>
      </c>
      <c r="J28" s="29" t="n">
        <v>46114</v>
      </c>
      <c r="L28" s="29" t="n">
        <v>46133</v>
      </c>
      <c r="M28" t="inlineStr">
        <is>
          <t>sprint-Gonzalo</t>
        </is>
      </c>
      <c r="N28" s="11" t="n">
        <v>1</v>
      </c>
      <c r="O28" s="11" t="n">
        <v>1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QA</t>
        </is>
      </c>
      <c r="B29" s="28" t="inlineStr">
        <is>
          <t>FILTER-13292</t>
        </is>
      </c>
      <c r="C29" s="20" t="inlineStr">
        <is>
          <t>QA - P1 Escalation-Searches and Sites not generating Cases | Comal ISD for pkg 40</t>
        </is>
      </c>
      <c r="D29" t="inlineStr">
        <is>
          <t>FILTER-13286</t>
        </is>
      </c>
      <c r="E29" t="inlineStr">
        <is>
          <t>Escape Defect</t>
        </is>
      </c>
      <c r="F29" t="inlineStr">
        <is>
          <t>Altamash Heroli</t>
        </is>
      </c>
      <c r="G29" t="inlineStr">
        <is>
          <t>Done</t>
        </is>
      </c>
      <c r="H29" t="inlineStr"/>
      <c r="I29" t="inlineStr">
        <is>
          <t>P0</t>
        </is>
      </c>
      <c r="J29" s="29" t="n">
        <v>46119</v>
      </c>
      <c r="L29" s="29" t="n">
        <v>46126</v>
      </c>
      <c r="M29" t="inlineStr">
        <is>
          <t>sprint-Gonzalo</t>
        </is>
      </c>
      <c r="N29" s="11" t="n">
        <v>6</v>
      </c>
      <c r="O29" s="11" t="n">
        <v>4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QA</t>
        </is>
      </c>
      <c r="B30" s="28" t="inlineStr">
        <is>
          <t>FILTER-13375</t>
        </is>
      </c>
      <c r="C30" s="20" t="inlineStr">
        <is>
          <t>QA- Safety Console &gt;&gt; Policy Editor. Delete policy popup has translation key instead of message.</t>
        </is>
      </c>
      <c r="D30" t="inlineStr">
        <is>
          <t>FILTER-13373</t>
        </is>
      </c>
      <c r="E30" t="inlineStr">
        <is>
          <t>Defect</t>
        </is>
      </c>
      <c r="F30" t="inlineStr">
        <is>
          <t>Altamash Heroli</t>
        </is>
      </c>
      <c r="G30" t="inlineStr">
        <is>
          <t>Done</t>
        </is>
      </c>
      <c r="H30" t="inlineStr"/>
      <c r="I30" t="inlineStr">
        <is>
          <t>P1</t>
        </is>
      </c>
      <c r="J30" s="29" t="n">
        <v>46121</v>
      </c>
      <c r="L30" s="29" t="n">
        <v>46126</v>
      </c>
      <c r="M30" t="inlineStr">
        <is>
          <t>sprint-Gonzalo</t>
        </is>
      </c>
      <c r="N30" s="11" t="n">
        <v>1</v>
      </c>
      <c r="O30" s="11" t="n">
        <v>1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QA</t>
        </is>
      </c>
      <c r="B31" s="28" t="inlineStr">
        <is>
          <t>FILTER-13383</t>
        </is>
      </c>
      <c r="C31" s="20" t="inlineStr">
        <is>
          <t>QA- Safety Console &gt;&gt; Policy Map &gt;&gt; Custom Group. Delete CG popup has translation key instead of message.</t>
        </is>
      </c>
      <c r="D31" t="inlineStr">
        <is>
          <t>FILTER-13381</t>
        </is>
      </c>
      <c r="E31" t="inlineStr">
        <is>
          <t>Defect</t>
        </is>
      </c>
      <c r="F31" t="inlineStr">
        <is>
          <t>Altamash Heroli</t>
        </is>
      </c>
      <c r="G31" t="inlineStr">
        <is>
          <t>QA Verified</t>
        </is>
      </c>
      <c r="H31" t="inlineStr"/>
      <c r="I31" t="inlineStr">
        <is>
          <t>P1</t>
        </is>
      </c>
      <c r="J31" s="29" t="n">
        <v>46121</v>
      </c>
      <c r="L31" s="29" t="n">
        <v>46126</v>
      </c>
      <c r="M31" t="inlineStr">
        <is>
          <t>sprint-Gonzalo</t>
        </is>
      </c>
      <c r="N31" s="11" t="n">
        <v>1</v>
      </c>
      <c r="O31" s="11" t="n">
        <v>1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QA</t>
        </is>
      </c>
      <c r="B32" s="28" t="inlineStr">
        <is>
          <t>FILTER-13417</t>
        </is>
      </c>
      <c r="C32" s="20" t="inlineStr">
        <is>
          <t>QA- MT User &gt;&gt; Filter &gt;&gt; Policy Editor. After making any changes to any policy, MT user is taken to Global policy.</t>
        </is>
      </c>
      <c r="D32" t="inlineStr">
        <is>
          <t>FILTER-13415</t>
        </is>
      </c>
      <c r="E32" t="inlineStr">
        <is>
          <t>Defect</t>
        </is>
      </c>
      <c r="F32" t="inlineStr">
        <is>
          <t>Altamash Heroli</t>
        </is>
      </c>
      <c r="G32" t="inlineStr">
        <is>
          <t>QA Verified</t>
        </is>
      </c>
      <c r="H32" t="inlineStr"/>
      <c r="I32" t="inlineStr">
        <is>
          <t>P2</t>
        </is>
      </c>
      <c r="J32" s="29" t="n">
        <v>46121</v>
      </c>
      <c r="L32" s="29" t="n">
        <v>46126</v>
      </c>
      <c r="M32" t="inlineStr">
        <is>
          <t>sprint-Gonzalo</t>
        </is>
      </c>
      <c r="N32" s="11" t="n">
        <v>1</v>
      </c>
      <c r="O32" s="11" t="n">
        <v>1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QA</t>
        </is>
      </c>
      <c r="B33" s="28" t="inlineStr">
        <is>
          <t>FILTER-13421</t>
        </is>
      </c>
      <c r="C33" s="20" t="inlineStr">
        <is>
          <t>QA- MT User &gt;&gt; Filter &gt;&gt; Policy Editor. MT not able to Create or Clone policies</t>
        </is>
      </c>
      <c r="D33" t="inlineStr">
        <is>
          <t>FILTER-13419</t>
        </is>
      </c>
      <c r="E33" t="inlineStr">
        <is>
          <t>Defect</t>
        </is>
      </c>
      <c r="F33" t="inlineStr">
        <is>
          <t>Altamash Heroli</t>
        </is>
      </c>
      <c r="G33" t="inlineStr">
        <is>
          <t>QA Verified</t>
        </is>
      </c>
      <c r="H33" t="inlineStr"/>
      <c r="I33" t="inlineStr">
        <is>
          <t>P1</t>
        </is>
      </c>
      <c r="J33" s="29" t="n">
        <v>46121</v>
      </c>
      <c r="L33" s="29" t="n">
        <v>46126</v>
      </c>
      <c r="M33" t="inlineStr">
        <is>
          <t>sprint-Gonzalo</t>
        </is>
      </c>
      <c r="N33" s="11" t="n">
        <v>1</v>
      </c>
      <c r="O33" s="11" t="n">
        <v>1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QA</t>
        </is>
      </c>
      <c r="B34" s="28" t="inlineStr">
        <is>
          <t>FILTER-13425</t>
        </is>
      </c>
      <c r="C34" s="20" t="inlineStr">
        <is>
          <t>QA- MT User &gt;&gt; Filter &gt;&gt; Users. Clicking on Users redirects MT user to Policy Editor by auto reload</t>
        </is>
      </c>
      <c r="D34" t="inlineStr">
        <is>
          <t>FILTER-13423</t>
        </is>
      </c>
      <c r="E34" t="inlineStr">
        <is>
          <t>Defect</t>
        </is>
      </c>
      <c r="F34" t="inlineStr">
        <is>
          <t>Altamash Heroli</t>
        </is>
      </c>
      <c r="G34" t="inlineStr">
        <is>
          <t>QA Verified</t>
        </is>
      </c>
      <c r="H34" t="inlineStr"/>
      <c r="I34" t="inlineStr">
        <is>
          <t>P2</t>
        </is>
      </c>
      <c r="J34" s="29" t="n">
        <v>46121</v>
      </c>
      <c r="L34" s="29" t="n">
        <v>46126</v>
      </c>
      <c r="M34" t="inlineStr">
        <is>
          <t>sprint-Gonzalo</t>
        </is>
      </c>
      <c r="N34" s="11" t="n">
        <v>1</v>
      </c>
      <c r="O34" s="11" t="n">
        <v>1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QA</t>
        </is>
      </c>
      <c r="B35" s="28" t="inlineStr">
        <is>
          <t>FILTER-13436</t>
        </is>
      </c>
      <c r="C35" s="20" t="inlineStr">
        <is>
          <t>QA- Safety Console &gt;&gt; Filter. Extension. Dual Provision Kid with SG policy higher than OU/SSU, does not generate cases</t>
        </is>
      </c>
      <c r="D35" t="inlineStr">
        <is>
          <t>FILTER-13434</t>
        </is>
      </c>
      <c r="E35" t="inlineStr">
        <is>
          <t>Escape Defect</t>
        </is>
      </c>
      <c r="F35" t="inlineStr">
        <is>
          <t>Altamash Heroli</t>
        </is>
      </c>
      <c r="G35" t="inlineStr">
        <is>
          <t>QA Verified</t>
        </is>
      </c>
      <c r="H35" t="inlineStr"/>
      <c r="I35" t="inlineStr">
        <is>
          <t>P0</t>
        </is>
      </c>
      <c r="J35" s="29" t="n">
        <v>46122</v>
      </c>
      <c r="L35" s="29" t="n">
        <v>46126</v>
      </c>
      <c r="M35" t="inlineStr">
        <is>
          <t>sprint-Gonzalo</t>
        </is>
      </c>
      <c r="N35" s="11" t="n">
        <v>1</v>
      </c>
      <c r="O35" s="11" t="n">
        <v>1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QA</t>
        </is>
      </c>
      <c r="B36" s="28" t="inlineStr">
        <is>
          <t>FILTER-13452</t>
        </is>
      </c>
      <c r="C36" s="20" t="inlineStr">
        <is>
          <t>QA- Support Tool. Even if the user selects another FID from the FID Detail page's FID name dropdown, the new FID details are not updated on the Detail Page.</t>
        </is>
      </c>
      <c r="D36" t="inlineStr">
        <is>
          <t>FILTER-13450</t>
        </is>
      </c>
      <c r="E36" t="inlineStr">
        <is>
          <t>Escape Defect</t>
        </is>
      </c>
      <c r="F36" t="inlineStr">
        <is>
          <t>Altamash Heroli</t>
        </is>
      </c>
      <c r="G36" t="inlineStr">
        <is>
          <t>Done</t>
        </is>
      </c>
      <c r="H36" t="inlineStr"/>
      <c r="I36" t="inlineStr">
        <is>
          <t>P1</t>
        </is>
      </c>
      <c r="J36" s="29" t="n">
        <v>46123</v>
      </c>
      <c r="L36" s="29" t="n">
        <v>46128</v>
      </c>
      <c r="M36" t="inlineStr">
        <is>
          <t>sprint-Gonzalo</t>
        </is>
      </c>
      <c r="N36" s="11" t="n">
        <v>1.5</v>
      </c>
      <c r="O36" s="11" t="n">
        <v>1.5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QA</t>
        </is>
      </c>
      <c r="B37" s="28" t="inlineStr">
        <is>
          <t>FILTER-13472</t>
        </is>
      </c>
      <c r="C37" s="20" t="inlineStr">
        <is>
          <t>QA- Safety Console &gt;&gt; Filter. Custom Groups page is blank for Dual Provision FID.</t>
        </is>
      </c>
      <c r="D37" t="inlineStr">
        <is>
          <t>FILTER-13470</t>
        </is>
      </c>
      <c r="E37" t="inlineStr">
        <is>
          <t>Escape Defect</t>
        </is>
      </c>
      <c r="F37" t="inlineStr">
        <is>
          <t>Altamash Heroli</t>
        </is>
      </c>
      <c r="G37" t="inlineStr">
        <is>
          <t>Done</t>
        </is>
      </c>
      <c r="H37" t="inlineStr"/>
      <c r="I37" t="inlineStr">
        <is>
          <t>P0</t>
        </is>
      </c>
      <c r="J37" s="29" t="n">
        <v>46123</v>
      </c>
      <c r="L37" s="29" t="n">
        <v>46126</v>
      </c>
      <c r="M37" t="inlineStr">
        <is>
          <t>sprint-Gonzalo</t>
        </is>
      </c>
      <c r="N37" s="11" t="n">
        <v>2</v>
      </c>
      <c r="O37" s="11" t="n">
        <v>1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QA</t>
        </is>
      </c>
      <c r="B38" s="28" t="inlineStr">
        <is>
          <t>FILTER-13496</t>
        </is>
      </c>
      <c r="C38" s="20" t="inlineStr">
        <is>
          <t>QA- Custom groups are not displayed</t>
        </is>
      </c>
      <c r="D38" t="inlineStr">
        <is>
          <t>FILTER-13494</t>
        </is>
      </c>
      <c r="E38" t="inlineStr">
        <is>
          <t>Escape Defect</t>
        </is>
      </c>
      <c r="F38" t="inlineStr">
        <is>
          <t>Altamash Heroli</t>
        </is>
      </c>
      <c r="G38" t="inlineStr">
        <is>
          <t>Done</t>
        </is>
      </c>
      <c r="H38" t="inlineStr"/>
      <c r="I38" t="inlineStr">
        <is>
          <t>P2</t>
        </is>
      </c>
      <c r="J38" s="29" t="n">
        <v>46124</v>
      </c>
      <c r="L38" s="29" t="n">
        <v>46126</v>
      </c>
      <c r="M38" t="inlineStr">
        <is>
          <t>sprint-Gonzalo</t>
        </is>
      </c>
      <c r="N38" s="11" t="n">
        <v>0.02</v>
      </c>
      <c r="O38" s="11" t="n">
        <v>0.02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Automation</t>
        </is>
      </c>
      <c r="B39" s="28" t="inlineStr">
        <is>
          <t>FILTER-11382</t>
        </is>
      </c>
      <c r="C39" s="20" t="inlineStr">
        <is>
          <t>Automated E2E Regression Test: Validate Complete YouTube URL Logging from Embedded Clicks</t>
        </is>
      </c>
      <c r="D39" t="inlineStr">
        <is>
          <t>FILTER-11181</t>
        </is>
      </c>
      <c r="E39" t="inlineStr">
        <is>
          <t>Escape Defect</t>
        </is>
      </c>
      <c r="F39" t="inlineStr">
        <is>
          <t>Amit Shete</t>
        </is>
      </c>
      <c r="G39" t="inlineStr">
        <is>
          <t>Closed without action</t>
        </is>
      </c>
      <c r="H39" t="inlineStr"/>
      <c r="I39" t="inlineStr">
        <is>
          <t>P2</t>
        </is>
      </c>
      <c r="J39" s="29" t="n">
        <v>46000</v>
      </c>
      <c r="L39" s="29" t="n">
        <v>46126</v>
      </c>
      <c r="M39" t="inlineStr">
        <is>
          <t>sprint-Gonzalo</t>
        </is>
      </c>
      <c r="N39" s="11" t="n">
        <v>0</v>
      </c>
      <c r="O39" s="11" t="n">
        <v>6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Automation</t>
        </is>
      </c>
      <c r="B40" s="28" t="inlineStr">
        <is>
          <t>FILTER-11660</t>
        </is>
      </c>
      <c r="C40" s="20" t="inlineStr">
        <is>
          <t>Create Automated Tests for FluentD Tokenization Phase 3 (UserToken)</t>
        </is>
      </c>
      <c r="D40" t="inlineStr">
        <is>
          <t>FILTER-11631</t>
        </is>
      </c>
      <c r="E40" t="inlineStr">
        <is>
          <t>Story</t>
        </is>
      </c>
      <c r="F40" t="inlineStr">
        <is>
          <t>Amit Shete</t>
        </is>
      </c>
      <c r="G40" t="inlineStr">
        <is>
          <t>Done</t>
        </is>
      </c>
      <c r="H40" t="inlineStr"/>
      <c r="I40" t="inlineStr">
        <is>
          <t>P3</t>
        </is>
      </c>
      <c r="J40" s="29" t="n">
        <v>46037</v>
      </c>
      <c r="L40" s="29" t="n">
        <v>46126</v>
      </c>
      <c r="M40" t="inlineStr">
        <is>
          <t>sprint-Gonzalo</t>
        </is>
      </c>
      <c r="N40" s="11" t="n">
        <v>6</v>
      </c>
      <c r="O40" s="11" t="n">
        <v>6</v>
      </c>
      <c r="P40" t="inlineStr">
        <is>
          <t>FILTER</t>
        </is>
      </c>
      <c r="Q40" t="inlineStr">
        <is>
          <t>Capitalized-Feature</t>
        </is>
      </c>
      <c r="R40" t="inlineStr"/>
      <c r="S40" t="inlineStr"/>
    </row>
    <row r="41">
      <c r="A41" t="inlineStr">
        <is>
          <t>Automation</t>
        </is>
      </c>
      <c r="B41" s="28" t="inlineStr">
        <is>
          <t>FILTER-11845</t>
        </is>
      </c>
      <c r="C41" s="20" t="inlineStr">
        <is>
          <t>Add test cases for SafetyConsole CustomList API token invalidation</t>
        </is>
      </c>
      <c r="D41" t="inlineStr">
        <is>
          <t>FILTER-11687</t>
        </is>
      </c>
      <c r="E41" t="inlineStr">
        <is>
          <t>Defect</t>
        </is>
      </c>
      <c r="F41" t="inlineStr">
        <is>
          <t>Amit Shete</t>
        </is>
      </c>
      <c r="G41" t="inlineStr">
        <is>
          <t>Done</t>
        </is>
      </c>
      <c r="H41" t="inlineStr"/>
      <c r="I41" t="inlineStr">
        <is>
          <t>P2</t>
        </is>
      </c>
      <c r="J41" s="29" t="n">
        <v>46051</v>
      </c>
      <c r="L41" s="29" t="n">
        <v>46126</v>
      </c>
      <c r="M41" t="inlineStr">
        <is>
          <t>sprint-Gonzalo</t>
        </is>
      </c>
      <c r="N41" s="11" t="n">
        <v>4</v>
      </c>
      <c r="O41" s="11" t="n">
        <v>4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Automation</t>
        </is>
      </c>
      <c r="B42" s="28" t="inlineStr">
        <is>
          <t>FILTER-11874</t>
        </is>
      </c>
      <c r="C42" s="20" t="inlineStr">
        <is>
          <t>Add tests for CustomList API token invalidation on Filter Product disable</t>
        </is>
      </c>
      <c r="D42" t="inlineStr">
        <is>
          <t>FILTER-11688</t>
        </is>
      </c>
      <c r="E42" t="inlineStr">
        <is>
          <t>Escape Defect</t>
        </is>
      </c>
      <c r="F42" t="inlineStr">
        <is>
          <t>Amit Shete</t>
        </is>
      </c>
      <c r="G42" t="inlineStr">
        <is>
          <t>Done</t>
        </is>
      </c>
      <c r="H42" t="inlineStr"/>
      <c r="I42" t="inlineStr">
        <is>
          <t>P3</t>
        </is>
      </c>
      <c r="J42" s="29" t="n">
        <v>46051</v>
      </c>
      <c r="L42" s="29" t="n">
        <v>46126</v>
      </c>
      <c r="M42" t="inlineStr">
        <is>
          <t>sprint-Gonzalo</t>
        </is>
      </c>
      <c r="N42" s="11" t="n">
        <v>4</v>
      </c>
      <c r="O42" s="11" t="n">
        <v>4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Automation</t>
        </is>
      </c>
      <c r="B43" s="28" t="inlineStr">
        <is>
          <t>FILTER-11975</t>
        </is>
      </c>
      <c r="C43" s="20" t="inlineStr">
        <is>
          <t>Run all automated Image Blur test cases and confirm results to support  release readiness decision for the new NSFW model (MobileNetV2).</t>
        </is>
      </c>
      <c r="D43" t="inlineStr">
        <is>
          <t>FILTER-11974</t>
        </is>
      </c>
      <c r="E43" t="inlineStr">
        <is>
          <t>Story</t>
        </is>
      </c>
      <c r="F43" t="inlineStr">
        <is>
          <t>Amit Shete</t>
        </is>
      </c>
      <c r="G43" t="inlineStr">
        <is>
          <t>Done</t>
        </is>
      </c>
      <c r="H43" t="inlineStr"/>
      <c r="I43" t="inlineStr">
        <is>
          <t>P2</t>
        </is>
      </c>
      <c r="J43" s="29" t="n">
        <v>46058</v>
      </c>
      <c r="L43" s="29" t="n">
        <v>46083</v>
      </c>
      <c r="M43" t="inlineStr">
        <is>
          <t>sprint-Gonzalo</t>
        </is>
      </c>
      <c r="N43" s="11" t="n">
        <v>2</v>
      </c>
      <c r="O43" s="11" t="n">
        <v>3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Automation</t>
        </is>
      </c>
      <c r="B44" s="28" t="inlineStr">
        <is>
          <t>FILTER-12167</t>
        </is>
      </c>
      <c r="C44" s="20" t="inlineStr">
        <is>
          <t>Sandbox bypass prevention – iframe/CDN block (W3Schools-style)</t>
        </is>
      </c>
      <c r="D44" t="inlineStr">
        <is>
          <t>FILTER-12093</t>
        </is>
      </c>
      <c r="E44" t="inlineStr">
        <is>
          <t>Escape Defect</t>
        </is>
      </c>
      <c r="F44" t="inlineStr">
        <is>
          <t>Amit Shete</t>
        </is>
      </c>
      <c r="G44" t="inlineStr">
        <is>
          <t>Closed without action</t>
        </is>
      </c>
      <c r="H44" t="inlineStr"/>
      <c r="I44" t="inlineStr">
        <is>
          <t>P1</t>
        </is>
      </c>
      <c r="J44" s="29" t="n">
        <v>46077</v>
      </c>
      <c r="L44" s="29" t="n">
        <v>46118</v>
      </c>
      <c r="M44" t="inlineStr">
        <is>
          <t>sprint-Gonzalo</t>
        </is>
      </c>
      <c r="N44" s="11" t="n">
        <v>0</v>
      </c>
      <c r="O44" s="11" t="n">
        <v>5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Automation</t>
        </is>
      </c>
      <c r="B45" s="28" t="inlineStr">
        <is>
          <t>FILTER-12201</t>
        </is>
      </c>
      <c r="C45" s="20" t="inlineStr">
        <is>
          <t>SPROX Testing with P0 suite</t>
        </is>
      </c>
      <c r="D45" t="inlineStr">
        <is>
          <t>FILTER-12199</t>
        </is>
      </c>
      <c r="E45" t="inlineStr">
        <is>
          <t>Task</t>
        </is>
      </c>
      <c r="F45" t="inlineStr">
        <is>
          <t>Amit Shete</t>
        </is>
      </c>
      <c r="G45" t="inlineStr">
        <is>
          <t>Done</t>
        </is>
      </c>
      <c r="H45" t="inlineStr"/>
      <c r="I45" t="inlineStr">
        <is>
          <t>P2</t>
        </is>
      </c>
      <c r="J45" s="29" t="n">
        <v>46078</v>
      </c>
      <c r="L45" s="29" t="n">
        <v>46126</v>
      </c>
      <c r="M45" t="inlineStr">
        <is>
          <t>sprint-Gonzalo</t>
        </is>
      </c>
      <c r="N45" s="11" t="n">
        <v>4.5</v>
      </c>
      <c r="O45" s="11" t="n">
        <v>8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Automation</t>
        </is>
      </c>
      <c r="B46" s="28" t="inlineStr">
        <is>
          <t>FILTER-12444</t>
        </is>
      </c>
      <c r="C46" s="20" t="inlineStr">
        <is>
          <t>Automation - Duplicate policies appearing in Policy editor</t>
        </is>
      </c>
      <c r="D46" t="inlineStr">
        <is>
          <t>FILTER-12405</t>
        </is>
      </c>
      <c r="E46" t="inlineStr">
        <is>
          <t>Escape Defect</t>
        </is>
      </c>
      <c r="F46" t="inlineStr">
        <is>
          <t>Amit Shete</t>
        </is>
      </c>
      <c r="G46" t="inlineStr">
        <is>
          <t>Closed without action</t>
        </is>
      </c>
      <c r="H46" t="inlineStr"/>
      <c r="I46" t="inlineStr">
        <is>
          <t>P3</t>
        </is>
      </c>
      <c r="J46" s="29" t="n">
        <v>46093</v>
      </c>
      <c r="L46" s="29" t="n">
        <v>46118</v>
      </c>
      <c r="M46" t="inlineStr">
        <is>
          <t>sprint-Gonzalo</t>
        </is>
      </c>
      <c r="N46" s="11" t="n">
        <v>0</v>
      </c>
      <c r="O46" s="11" t="n">
        <v>0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Automation</t>
        </is>
      </c>
      <c r="B47" s="28" t="inlineStr">
        <is>
          <t>FILTER-12562</t>
        </is>
      </c>
      <c r="C47" s="20" t="inlineStr">
        <is>
          <t>Re-run SPROX Testing with P0 suite post Dev Fixes</t>
        </is>
      </c>
      <c r="D47" t="inlineStr">
        <is>
          <t>FILTER-12199</t>
        </is>
      </c>
      <c r="E47" t="inlineStr">
        <is>
          <t>Task</t>
        </is>
      </c>
      <c r="F47" t="inlineStr">
        <is>
          <t>Amit Shete</t>
        </is>
      </c>
      <c r="G47" t="inlineStr">
        <is>
          <t>Done</t>
        </is>
      </c>
      <c r="H47" t="inlineStr"/>
      <c r="I47" t="inlineStr">
        <is>
          <t>P2</t>
        </is>
      </c>
      <c r="J47" s="29" t="n">
        <v>46099</v>
      </c>
      <c r="L47" s="29" t="n">
        <v>46126</v>
      </c>
      <c r="M47" t="inlineStr">
        <is>
          <t>sprint-Gonzalo</t>
        </is>
      </c>
      <c r="N47" s="11" t="n">
        <v>6</v>
      </c>
      <c r="O47" s="11" t="n">
        <v>6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QA</t>
        </is>
      </c>
      <c r="B48" s="28" t="inlineStr">
        <is>
          <t>FILTER-12565</t>
        </is>
      </c>
      <c r="C48" s="20" t="inlineStr">
        <is>
          <t>QA- [sprox] Keyword scanning is not working for all search engines except google.com</t>
        </is>
      </c>
      <c r="D48" t="inlineStr">
        <is>
          <t>FILTER-12563</t>
        </is>
      </c>
      <c r="E48" t="inlineStr">
        <is>
          <t>Defect</t>
        </is>
      </c>
      <c r="F48" t="inlineStr">
        <is>
          <t>Amit Shete</t>
        </is>
      </c>
      <c r="G48" t="inlineStr">
        <is>
          <t>Done</t>
        </is>
      </c>
      <c r="H48" t="inlineStr"/>
      <c r="I48" t="inlineStr">
        <is>
          <t>P1</t>
        </is>
      </c>
      <c r="J48" s="29" t="n">
        <v>46099</v>
      </c>
      <c r="L48" s="29" t="n">
        <v>46120</v>
      </c>
      <c r="M48" t="inlineStr">
        <is>
          <t>sprint-Gonzalo</t>
        </is>
      </c>
      <c r="N48" s="11" t="n">
        <v>0.5</v>
      </c>
      <c r="O48" s="11" t="n">
        <v>0.5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Automation</t>
        </is>
      </c>
      <c r="B49" s="28" t="inlineStr">
        <is>
          <t>FILTER-12566</t>
        </is>
      </c>
      <c r="C49" s="20" t="inlineStr">
        <is>
          <t>QA- [sprox] Keyword scanning is not working for all search engines except google.com</t>
        </is>
      </c>
      <c r="D49" t="inlineStr">
        <is>
          <t>FILTER-12563</t>
        </is>
      </c>
      <c r="E49" t="inlineStr">
        <is>
          <t>Defect</t>
        </is>
      </c>
      <c r="F49" t="inlineStr">
        <is>
          <t>Amit Shete</t>
        </is>
      </c>
      <c r="G49" t="inlineStr">
        <is>
          <t>Done</t>
        </is>
      </c>
      <c r="H49" t="inlineStr"/>
      <c r="I49" t="inlineStr">
        <is>
          <t>P1</t>
        </is>
      </c>
      <c r="J49" s="29" t="n">
        <v>46099</v>
      </c>
      <c r="L49" s="29" t="n">
        <v>46118</v>
      </c>
      <c r="M49" t="inlineStr">
        <is>
          <t>sprint-Gonzalo</t>
        </is>
      </c>
      <c r="N49" s="11" t="n">
        <v>1</v>
      </c>
      <c r="O49" s="11" t="n">
        <v>1</v>
      </c>
      <c r="P49" t="inlineStr">
        <is>
          <t>FILTER</t>
        </is>
      </c>
      <c r="Q49" t="inlineStr"/>
      <c r="R49" t="inlineStr"/>
      <c r="S49" t="inlineStr"/>
    </row>
    <row r="50">
      <c r="A50" t="inlineStr">
        <is>
          <t>Automation</t>
        </is>
      </c>
      <c r="B50" s="28" t="inlineStr">
        <is>
          <t>FILTER-12660</t>
        </is>
      </c>
      <c r="C50" s="20" t="inlineStr">
        <is>
          <t xml:space="preserve">QA- Policy Map does not display OU names when searching or filtering </t>
        </is>
      </c>
      <c r="D50" t="inlineStr">
        <is>
          <t>FILTER-12657</t>
        </is>
      </c>
      <c r="E50" t="inlineStr">
        <is>
          <t>Escape Defect</t>
        </is>
      </c>
      <c r="F50" t="inlineStr">
        <is>
          <t>Amit Shete</t>
        </is>
      </c>
      <c r="G50" t="inlineStr">
        <is>
          <t>Closed without action</t>
        </is>
      </c>
      <c r="H50" t="inlineStr"/>
      <c r="I50" t="inlineStr">
        <is>
          <t>P3</t>
        </is>
      </c>
      <c r="J50" s="29" t="n">
        <v>46105</v>
      </c>
      <c r="L50" s="29" t="n">
        <v>46107</v>
      </c>
      <c r="M50" t="inlineStr">
        <is>
          <t>sprint-Gonzalo</t>
        </is>
      </c>
      <c r="N50" s="11" t="n">
        <v>0</v>
      </c>
      <c r="O50" s="11" t="n">
        <v>0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Automation</t>
        </is>
      </c>
      <c r="B51" s="28" t="inlineStr">
        <is>
          <t>FILTER-12688</t>
        </is>
      </c>
      <c r="C51" s="20" t="inlineStr">
        <is>
          <t>QA- [Edge] Overlay gets stuck in an infinite loading loop on YouTube thumbnails</t>
        </is>
      </c>
      <c r="D51" t="inlineStr">
        <is>
          <t>FILTER-12685</t>
        </is>
      </c>
      <c r="E51" t="inlineStr">
        <is>
          <t>Defect</t>
        </is>
      </c>
      <c r="F51" t="inlineStr">
        <is>
          <t>Amit Shete</t>
        </is>
      </c>
      <c r="G51" t="inlineStr">
        <is>
          <t>Closed without action</t>
        </is>
      </c>
      <c r="H51" t="inlineStr"/>
      <c r="I51" t="inlineStr">
        <is>
          <t>P1</t>
        </is>
      </c>
      <c r="J51" s="29" t="n">
        <v>46106</v>
      </c>
      <c r="L51" s="29" t="n">
        <v>46119</v>
      </c>
      <c r="M51" t="inlineStr">
        <is>
          <t>sprint-Gonzalo</t>
        </is>
      </c>
      <c r="N51" s="11" t="n">
        <v>0</v>
      </c>
      <c r="O51" s="11" t="n">
        <v>0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Automation</t>
        </is>
      </c>
      <c r="B52" s="28" t="inlineStr">
        <is>
          <t>FILTER-12783</t>
        </is>
      </c>
      <c r="C52" s="20" t="inlineStr">
        <is>
          <t>QA- Safety Console. Image blur. Confirmation popup does not have text in it and is not functional</t>
        </is>
      </c>
      <c r="D52" t="inlineStr">
        <is>
          <t>FILTER-12780</t>
        </is>
      </c>
      <c r="E52" t="inlineStr">
        <is>
          <t>Defect</t>
        </is>
      </c>
      <c r="F52" t="inlineStr">
        <is>
          <t>Amit Shete</t>
        </is>
      </c>
      <c r="G52" t="inlineStr">
        <is>
          <t>Closed without action</t>
        </is>
      </c>
      <c r="H52" t="inlineStr"/>
      <c r="I52" t="inlineStr">
        <is>
          <t>P3</t>
        </is>
      </c>
      <c r="J52" s="29" t="n">
        <v>46108</v>
      </c>
      <c r="L52" s="29" t="n">
        <v>46126</v>
      </c>
      <c r="M52" t="inlineStr">
        <is>
          <t>sprint-Gonzalo</t>
        </is>
      </c>
      <c r="N52" s="11" t="n">
        <v>0</v>
      </c>
      <c r="O52" s="11" t="n">
        <v>0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Automation</t>
        </is>
      </c>
      <c r="B53" s="28" t="inlineStr">
        <is>
          <t>FILTER-12791</t>
        </is>
      </c>
      <c r="C53" s="20" t="inlineStr">
        <is>
          <t>QA- Safety Console. Allow/Block Search terms. Even terms added as contains are getting added as Exact</t>
        </is>
      </c>
      <c r="D53" t="inlineStr">
        <is>
          <t>FILTER-12788</t>
        </is>
      </c>
      <c r="E53" t="inlineStr">
        <is>
          <t>Defect</t>
        </is>
      </c>
      <c r="F53" t="inlineStr">
        <is>
          <t>Amit Shete</t>
        </is>
      </c>
      <c r="G53" t="inlineStr">
        <is>
          <t>Done</t>
        </is>
      </c>
      <c r="H53" t="inlineStr"/>
      <c r="I53" t="inlineStr">
        <is>
          <t>P1</t>
        </is>
      </c>
      <c r="J53" s="29" t="n">
        <v>46108</v>
      </c>
      <c r="L53" s="29" t="n">
        <v>46126</v>
      </c>
      <c r="M53" t="inlineStr">
        <is>
          <t>sprint-Gonzalo</t>
        </is>
      </c>
      <c r="N53" s="11" t="n">
        <v>2</v>
      </c>
      <c r="O53" s="11" t="n">
        <v>2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Automation</t>
        </is>
      </c>
      <c r="B54" s="28" t="inlineStr">
        <is>
          <t>FILTER-12867</t>
        </is>
      </c>
      <c r="C54" s="20" t="inlineStr">
        <is>
          <t>QA- Support Tool &gt;&gt; Custom list UI. Custom List table &gt;&gt; "Last updated by" field is not showing value for every list</t>
        </is>
      </c>
      <c r="D54" t="inlineStr">
        <is>
          <t>FILTER-12864</t>
        </is>
      </c>
      <c r="E54" t="inlineStr">
        <is>
          <t>Defect</t>
        </is>
      </c>
      <c r="F54" t="inlineStr">
        <is>
          <t>Amit Shete</t>
        </is>
      </c>
      <c r="G54" t="inlineStr">
        <is>
          <t>Closed without action</t>
        </is>
      </c>
      <c r="H54" t="inlineStr"/>
      <c r="I54" t="inlineStr">
        <is>
          <t>P2</t>
        </is>
      </c>
      <c r="J54" s="29" t="n">
        <v>46108</v>
      </c>
      <c r="L54" s="29" t="n">
        <v>46126</v>
      </c>
      <c r="M54" t="inlineStr">
        <is>
          <t>sprint-Gonzalo</t>
        </is>
      </c>
      <c r="N54" s="11" t="n">
        <v>0</v>
      </c>
      <c r="O54" s="11" t="n">
        <v>0</v>
      </c>
      <c r="P54" t="inlineStr">
        <is>
          <t>FILTER</t>
        </is>
      </c>
      <c r="Q54" t="inlineStr"/>
      <c r="R54" t="inlineStr"/>
      <c r="S54" t="inlineStr"/>
    </row>
    <row r="55">
      <c r="A55" t="inlineStr">
        <is>
          <t>Automation</t>
        </is>
      </c>
      <c r="B55" s="28" t="inlineStr">
        <is>
          <t>FILTER-12871</t>
        </is>
      </c>
      <c r="C55" s="20" t="inlineStr">
        <is>
          <t>QA- Support Tool &gt;&gt; Custom list UI. Custom List table &gt;&gt; we are able to see global lists which are created by non support tool users as well</t>
        </is>
      </c>
      <c r="D55" t="inlineStr">
        <is>
          <t>FILTER-12868</t>
        </is>
      </c>
      <c r="E55" t="inlineStr">
        <is>
          <t>Defect</t>
        </is>
      </c>
      <c r="F55" t="inlineStr">
        <is>
          <t>Amit Shete</t>
        </is>
      </c>
      <c r="G55" t="inlineStr">
        <is>
          <t>Closed without action</t>
        </is>
      </c>
      <c r="H55" t="inlineStr"/>
      <c r="I55" t="inlineStr">
        <is>
          <t>P1</t>
        </is>
      </c>
      <c r="J55" s="29" t="n">
        <v>46108</v>
      </c>
      <c r="L55" s="29" t="n">
        <v>46126</v>
      </c>
      <c r="M55" t="inlineStr">
        <is>
          <t>sprint-Gonzalo</t>
        </is>
      </c>
      <c r="N55" s="11" t="n">
        <v>0</v>
      </c>
      <c r="O55" s="11" t="n">
        <v>0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Automation</t>
        </is>
      </c>
      <c r="B56" s="28" t="inlineStr">
        <is>
          <t>FILTER-12895</t>
        </is>
      </c>
      <c r="C56" s="20" t="inlineStr">
        <is>
          <t>QA- Support Tool &gt;&gt; Custom list UI. Create custom list and Edit custom list, pages error message is not explanatory for more than 255 character length</t>
        </is>
      </c>
      <c r="D56" t="inlineStr">
        <is>
          <t>FILTER-12892</t>
        </is>
      </c>
      <c r="E56" t="inlineStr">
        <is>
          <t>Defect</t>
        </is>
      </c>
      <c r="F56" t="inlineStr">
        <is>
          <t>Amit Shete</t>
        </is>
      </c>
      <c r="G56" t="inlineStr">
        <is>
          <t>Closed without action</t>
        </is>
      </c>
      <c r="H56" t="inlineStr"/>
      <c r="I56" t="inlineStr">
        <is>
          <t>P2</t>
        </is>
      </c>
      <c r="J56" s="29" t="n">
        <v>46108</v>
      </c>
      <c r="L56" s="29" t="n">
        <v>46126</v>
      </c>
      <c r="M56" t="inlineStr">
        <is>
          <t>sprint-Gonzalo</t>
        </is>
      </c>
      <c r="N56" s="11" t="n">
        <v>0</v>
      </c>
      <c r="O56" s="11" t="n">
        <v>0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Automation</t>
        </is>
      </c>
      <c r="B57" s="28" t="inlineStr">
        <is>
          <t>FILTER-12899</t>
        </is>
      </c>
      <c r="C57" s="20" t="inlineStr">
        <is>
          <t>QA- Support Tool &gt;&gt; Custom list UI. Create custom list Resource and Update custom list Resource, drawer should validated for comment length on Save of that drawer</t>
        </is>
      </c>
      <c r="D57" t="inlineStr">
        <is>
          <t>FILTER-12896</t>
        </is>
      </c>
      <c r="E57" t="inlineStr">
        <is>
          <t>Defect</t>
        </is>
      </c>
      <c r="F57" t="inlineStr">
        <is>
          <t>Amit Shete</t>
        </is>
      </c>
      <c r="G57" t="inlineStr">
        <is>
          <t>Closed without action</t>
        </is>
      </c>
      <c r="H57" t="inlineStr"/>
      <c r="I57" t="inlineStr">
        <is>
          <t>P2</t>
        </is>
      </c>
      <c r="J57" s="29" t="n">
        <v>46108</v>
      </c>
      <c r="L57" s="29" t="n">
        <v>46126</v>
      </c>
      <c r="M57" t="inlineStr">
        <is>
          <t>sprint-Gonzalo</t>
        </is>
      </c>
      <c r="N57" s="11" t="n">
        <v>0</v>
      </c>
      <c r="O57" s="11" t="n">
        <v>0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Automation</t>
        </is>
      </c>
      <c r="B58" s="28" t="inlineStr">
        <is>
          <t>FILTER-12903</t>
        </is>
      </c>
      <c r="C58" s="20" t="inlineStr">
        <is>
          <t>QA- Support Tool &gt;&gt; Custom list UI. Create custom list and Edit custom list, pages error message is not explanatory for duplicate Custom list name</t>
        </is>
      </c>
      <c r="D58" t="inlineStr">
        <is>
          <t>FILTER-12900</t>
        </is>
      </c>
      <c r="E58" t="inlineStr">
        <is>
          <t>Defect</t>
        </is>
      </c>
      <c r="F58" t="inlineStr">
        <is>
          <t>Amit Shete</t>
        </is>
      </c>
      <c r="G58" t="inlineStr">
        <is>
          <t>Closed without action</t>
        </is>
      </c>
      <c r="H58" t="inlineStr"/>
      <c r="I58" t="inlineStr">
        <is>
          <t>P2</t>
        </is>
      </c>
      <c r="J58" s="29" t="n">
        <v>46108</v>
      </c>
      <c r="L58" s="29" t="n">
        <v>46126</v>
      </c>
      <c r="M58" t="inlineStr">
        <is>
          <t>sprint-Gonzalo</t>
        </is>
      </c>
      <c r="N58" s="11" t="n">
        <v>0</v>
      </c>
      <c r="O58" s="11" t="n">
        <v>0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Automation</t>
        </is>
      </c>
      <c r="B59" s="28" t="inlineStr">
        <is>
          <t>FILTER-12915</t>
        </is>
      </c>
      <c r="C59" s="20" t="inlineStr">
        <is>
          <t>QA- Safety Console &gt;&gt; Allow/Block URL. Weird wildcards are not showing ! mark</t>
        </is>
      </c>
      <c r="D59" t="inlineStr">
        <is>
          <t>FILTER-12912</t>
        </is>
      </c>
      <c r="E59" t="inlineStr">
        <is>
          <t>Defect</t>
        </is>
      </c>
      <c r="F59" t="inlineStr">
        <is>
          <t>Amit Shete</t>
        </is>
      </c>
      <c r="G59" t="inlineStr">
        <is>
          <t>Closed without action</t>
        </is>
      </c>
      <c r="H59" t="inlineStr"/>
      <c r="I59" t="inlineStr">
        <is>
          <t>P1</t>
        </is>
      </c>
      <c r="J59" s="29" t="n">
        <v>46108</v>
      </c>
      <c r="L59" s="29" t="n">
        <v>46126</v>
      </c>
      <c r="M59" t="inlineStr">
        <is>
          <t>sprint-Gonzalo</t>
        </is>
      </c>
      <c r="N59" s="11" t="n">
        <v>0</v>
      </c>
      <c r="O59" s="11" t="n">
        <v>0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Automation</t>
        </is>
      </c>
      <c r="B60" s="28" t="inlineStr">
        <is>
          <t>FILTER-12976</t>
        </is>
      </c>
      <c r="C60" s="20" t="inlineStr">
        <is>
          <t>QA- Safety Console &gt;&gt; Activities. More more info Popup does not have Search, Site, Public IP, Block and Allow buttons translated</t>
        </is>
      </c>
      <c r="D60" t="inlineStr">
        <is>
          <t>FILTER-12973</t>
        </is>
      </c>
      <c r="E60" t="inlineStr">
        <is>
          <t>Escape Defect</t>
        </is>
      </c>
      <c r="F60" t="inlineStr">
        <is>
          <t>Amit Shete</t>
        </is>
      </c>
      <c r="G60" t="inlineStr">
        <is>
          <t>Closed without action</t>
        </is>
      </c>
      <c r="H60" t="inlineStr"/>
      <c r="I60" t="inlineStr">
        <is>
          <t>P2</t>
        </is>
      </c>
      <c r="J60" s="29" t="n">
        <v>46111</v>
      </c>
      <c r="L60" s="29" t="n">
        <v>46118</v>
      </c>
      <c r="M60" t="inlineStr">
        <is>
          <t>sprint-Gonzalo</t>
        </is>
      </c>
      <c r="N60" s="11" t="n">
        <v>0</v>
      </c>
      <c r="O60" s="11" t="n">
        <v>0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Automation</t>
        </is>
      </c>
      <c r="B61" s="28" t="inlineStr">
        <is>
          <t>FILTER-13102</t>
        </is>
      </c>
      <c r="C61" s="20" t="inlineStr">
        <is>
          <t>QA- (Not in Pkg 41) Support Tool &gt;&gt; Custom list UI. Not able to create Custom list</t>
        </is>
      </c>
      <c r="D61" t="inlineStr">
        <is>
          <t>FILTER-13099</t>
        </is>
      </c>
      <c r="E61" t="inlineStr">
        <is>
          <t>Defect</t>
        </is>
      </c>
      <c r="F61" t="inlineStr">
        <is>
          <t>Amit Shete</t>
        </is>
      </c>
      <c r="G61" t="inlineStr">
        <is>
          <t>Closed without action</t>
        </is>
      </c>
      <c r="H61" t="inlineStr"/>
      <c r="I61" t="inlineStr">
        <is>
          <t>P1</t>
        </is>
      </c>
      <c r="J61" s="29" t="n">
        <v>46114</v>
      </c>
      <c r="L61" s="29" t="n">
        <v>46119</v>
      </c>
      <c r="M61" t="inlineStr">
        <is>
          <t>sprint-Gonzalo</t>
        </is>
      </c>
      <c r="N61" s="11" t="n">
        <v>0</v>
      </c>
      <c r="O61" s="11" t="n">
        <v>0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Automation</t>
        </is>
      </c>
      <c r="B62" s="28" t="inlineStr">
        <is>
          <t>FILTER-13108</t>
        </is>
      </c>
      <c r="C62" s="20" t="inlineStr">
        <is>
          <t xml:space="preserve">QA- Looking for solution for HTML Editor vulnerabilities </t>
        </is>
      </c>
      <c r="D62" t="inlineStr">
        <is>
          <t>FILTER-13105</t>
        </is>
      </c>
      <c r="E62" t="inlineStr">
        <is>
          <t>Escape Defect</t>
        </is>
      </c>
      <c r="F62" t="inlineStr">
        <is>
          <t>Amit Shete</t>
        </is>
      </c>
      <c r="G62" t="inlineStr">
        <is>
          <t>Closed without action</t>
        </is>
      </c>
      <c r="H62" t="inlineStr"/>
      <c r="I62" t="inlineStr">
        <is>
          <t>P1</t>
        </is>
      </c>
      <c r="J62" s="29" t="n">
        <v>46114</v>
      </c>
      <c r="L62" s="29" t="n">
        <v>46128</v>
      </c>
      <c r="M62" t="inlineStr">
        <is>
          <t>sprint-Gonzalo</t>
        </is>
      </c>
      <c r="N62" s="11" t="n">
        <v>0</v>
      </c>
      <c r="O62" s="11" t="n">
        <v>0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Automation</t>
        </is>
      </c>
      <c r="B63" s="28" t="inlineStr">
        <is>
          <t>FILTER-13132</t>
        </is>
      </c>
      <c r="C63" s="20" t="inlineStr">
        <is>
          <t>QA- CA &amp; UK DNS filtering not working as expected.</t>
        </is>
      </c>
      <c r="D63" t="inlineStr">
        <is>
          <t>FILTER-13129</t>
        </is>
      </c>
      <c r="E63" t="inlineStr">
        <is>
          <t>Escape Defect</t>
        </is>
      </c>
      <c r="F63" t="inlineStr">
        <is>
          <t>Amit Shete</t>
        </is>
      </c>
      <c r="G63" t="inlineStr">
        <is>
          <t>Closed without action</t>
        </is>
      </c>
      <c r="H63" t="inlineStr"/>
      <c r="I63" t="inlineStr">
        <is>
          <t>P1</t>
        </is>
      </c>
      <c r="J63" s="29" t="n">
        <v>46114</v>
      </c>
      <c r="L63" s="29" t="n">
        <v>46118</v>
      </c>
      <c r="M63" t="inlineStr">
        <is>
          <t>sprint-Gonzalo</t>
        </is>
      </c>
      <c r="N63" s="11" t="n">
        <v>0</v>
      </c>
      <c r="O63" s="11" t="n">
        <v>0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Automation</t>
        </is>
      </c>
      <c r="B64" s="28" t="inlineStr">
        <is>
          <t>FILTER-13321</t>
        </is>
      </c>
      <c r="C64" s="20" t="inlineStr">
        <is>
          <t>QA- Security issues with SSO access token and JWT created for GO broker - Part 1</t>
        </is>
      </c>
      <c r="D64" t="inlineStr">
        <is>
          <t>FILTER-13318</t>
        </is>
      </c>
      <c r="E64" t="inlineStr">
        <is>
          <t>Task</t>
        </is>
      </c>
      <c r="F64" t="inlineStr">
        <is>
          <t>Amit Shete</t>
        </is>
      </c>
      <c r="G64" t="inlineStr">
        <is>
          <t>Closed without action</t>
        </is>
      </c>
      <c r="H64" t="inlineStr"/>
      <c r="I64" t="inlineStr">
        <is>
          <t>P3</t>
        </is>
      </c>
      <c r="J64" s="29" t="n">
        <v>46120</v>
      </c>
      <c r="L64" s="29" t="n">
        <v>46126</v>
      </c>
      <c r="M64" t="inlineStr">
        <is>
          <t>sprint-Gonzalo</t>
        </is>
      </c>
      <c r="N64" s="11" t="n">
        <v>0</v>
      </c>
      <c r="O64" s="11" t="n">
        <v>0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Automation</t>
        </is>
      </c>
      <c r="B65" s="28" t="inlineStr">
        <is>
          <t>FILTER-13329</t>
        </is>
      </c>
      <c r="C65" s="20" t="inlineStr">
        <is>
          <t>QA- Users receiving {"success":0,"message":"Internal Server Error"} when trying to use Google search and browse sites.</t>
        </is>
      </c>
      <c r="D65" t="inlineStr">
        <is>
          <t>FILTER-13326</t>
        </is>
      </c>
      <c r="E65" t="inlineStr">
        <is>
          <t>Escape Defect</t>
        </is>
      </c>
      <c r="F65" t="inlineStr">
        <is>
          <t>Amit Shete</t>
        </is>
      </c>
      <c r="G65" t="inlineStr">
        <is>
          <t>Closed without action</t>
        </is>
      </c>
      <c r="H65" t="inlineStr"/>
      <c r="I65" t="inlineStr">
        <is>
          <t>P2</t>
        </is>
      </c>
      <c r="J65" s="29" t="n">
        <v>46120</v>
      </c>
      <c r="L65" s="29" t="n">
        <v>46124</v>
      </c>
      <c r="M65" t="inlineStr">
        <is>
          <t>sprint-Gonzalo</t>
        </is>
      </c>
      <c r="N65" s="11" t="n">
        <v>0</v>
      </c>
      <c r="O65" s="11" t="n">
        <v>0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Automation</t>
        </is>
      </c>
      <c r="B66" s="28" t="inlineStr">
        <is>
          <t>FILTER-13363</t>
        </is>
      </c>
      <c r="C66" s="20" t="inlineStr">
        <is>
          <t>QA- Investigate and fix 'identifier at index 0 is empty' errors in tokenization-service</t>
        </is>
      </c>
      <c r="D66" t="inlineStr">
        <is>
          <t>FILTER-13360</t>
        </is>
      </c>
      <c r="E66" t="inlineStr">
        <is>
          <t>Escape Defect</t>
        </is>
      </c>
      <c r="F66" t="inlineStr">
        <is>
          <t>Amit Shete</t>
        </is>
      </c>
      <c r="G66" t="inlineStr">
        <is>
          <t>Closed without action</t>
        </is>
      </c>
      <c r="H66" t="inlineStr"/>
      <c r="I66" t="inlineStr">
        <is>
          <t>P0</t>
        </is>
      </c>
      <c r="J66" s="29" t="n">
        <v>46120</v>
      </c>
      <c r="L66" s="29" t="n">
        <v>46124</v>
      </c>
      <c r="M66" t="inlineStr">
        <is>
          <t>sprint-Gonzalo</t>
        </is>
      </c>
      <c r="N66" s="11" t="n">
        <v>0</v>
      </c>
      <c r="O66" s="11" t="n">
        <v>0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Automation</t>
        </is>
      </c>
      <c r="B67" s="28" t="inlineStr">
        <is>
          <t>FILTER-13376</t>
        </is>
      </c>
      <c r="C67" s="20" t="inlineStr">
        <is>
          <t>QA- Safety Console &gt;&gt; Policy Editor. Delete policy popup has translation key instead of message.</t>
        </is>
      </c>
      <c r="D67" t="inlineStr">
        <is>
          <t>FILTER-13373</t>
        </is>
      </c>
      <c r="E67" t="inlineStr">
        <is>
          <t>Defect</t>
        </is>
      </c>
      <c r="F67" t="inlineStr">
        <is>
          <t>Amit Shete</t>
        </is>
      </c>
      <c r="G67" t="inlineStr">
        <is>
          <t>Closed without action</t>
        </is>
      </c>
      <c r="H67" t="inlineStr"/>
      <c r="I67" t="inlineStr">
        <is>
          <t>P1</t>
        </is>
      </c>
      <c r="J67" s="29" t="n">
        <v>46121</v>
      </c>
      <c r="L67" s="29" t="n">
        <v>46126</v>
      </c>
      <c r="M67" t="inlineStr">
        <is>
          <t>sprint-Gonzalo</t>
        </is>
      </c>
      <c r="N67" s="11" t="n">
        <v>0</v>
      </c>
      <c r="O67" s="11" t="n">
        <v>0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Automation</t>
        </is>
      </c>
      <c r="B68" s="28" t="inlineStr">
        <is>
          <t>FILTER-13384</t>
        </is>
      </c>
      <c r="C68" s="20" t="inlineStr">
        <is>
          <t>QA- Safety Console &gt;&gt; Policy Map &gt;&gt; Custom Group. Delete CG popup has translation key instead of message.</t>
        </is>
      </c>
      <c r="D68" t="inlineStr">
        <is>
          <t>FILTER-13381</t>
        </is>
      </c>
      <c r="E68" t="inlineStr">
        <is>
          <t>Defect</t>
        </is>
      </c>
      <c r="F68" t="inlineStr">
        <is>
          <t>Amit Shete</t>
        </is>
      </c>
      <c r="G68" t="inlineStr">
        <is>
          <t>Closed without action</t>
        </is>
      </c>
      <c r="H68" t="inlineStr"/>
      <c r="I68" t="inlineStr">
        <is>
          <t>P1</t>
        </is>
      </c>
      <c r="J68" s="29" t="n">
        <v>46121</v>
      </c>
      <c r="L68" s="29" t="n">
        <v>46126</v>
      </c>
      <c r="M68" t="inlineStr">
        <is>
          <t>sprint-Gonzalo</t>
        </is>
      </c>
      <c r="N68" s="11" t="n">
        <v>0</v>
      </c>
      <c r="O68" s="11" t="n">
        <v>0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Automation</t>
        </is>
      </c>
      <c r="B69" s="28" t="inlineStr">
        <is>
          <t>FILTER-13418</t>
        </is>
      </c>
      <c r="C69" s="20" t="inlineStr">
        <is>
          <t>QA- MT User &gt;&gt; Filter &gt;&gt; Policy Editor. After making any changes to any policy, MT user is taken to Global policy.</t>
        </is>
      </c>
      <c r="D69" t="inlineStr">
        <is>
          <t>FILTER-13415</t>
        </is>
      </c>
      <c r="E69" t="inlineStr">
        <is>
          <t>Defect</t>
        </is>
      </c>
      <c r="F69" t="inlineStr">
        <is>
          <t>Amit Shete</t>
        </is>
      </c>
      <c r="G69" t="inlineStr">
        <is>
          <t>Closed without action</t>
        </is>
      </c>
      <c r="H69" t="inlineStr"/>
      <c r="I69" t="inlineStr">
        <is>
          <t>P2</t>
        </is>
      </c>
      <c r="J69" s="29" t="n">
        <v>46121</v>
      </c>
      <c r="L69" s="29" t="n">
        <v>46126</v>
      </c>
      <c r="M69" t="inlineStr">
        <is>
          <t>sprint-Gonzalo</t>
        </is>
      </c>
      <c r="N69" s="11" t="n">
        <v>0</v>
      </c>
      <c r="O69" s="11" t="n">
        <v>0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Automation</t>
        </is>
      </c>
      <c r="B70" s="28" t="inlineStr">
        <is>
          <t>FILTER-13422</t>
        </is>
      </c>
      <c r="C70" s="20" t="inlineStr">
        <is>
          <t>QA- MT User &gt;&gt; Filter &gt;&gt; Policy Editor. MT not able to Create or Clone policies</t>
        </is>
      </c>
      <c r="D70" t="inlineStr">
        <is>
          <t>FILTER-13419</t>
        </is>
      </c>
      <c r="E70" t="inlineStr">
        <is>
          <t>Defect</t>
        </is>
      </c>
      <c r="F70" t="inlineStr">
        <is>
          <t>Amit Shete</t>
        </is>
      </c>
      <c r="G70" t="inlineStr">
        <is>
          <t>Closed without action</t>
        </is>
      </c>
      <c r="H70" t="inlineStr"/>
      <c r="I70" t="inlineStr">
        <is>
          <t>P1</t>
        </is>
      </c>
      <c r="J70" s="29" t="n">
        <v>46121</v>
      </c>
      <c r="L70" s="29" t="n">
        <v>46126</v>
      </c>
      <c r="M70" t="inlineStr">
        <is>
          <t>sprint-Gonzalo</t>
        </is>
      </c>
      <c r="N70" s="11" t="n">
        <v>0</v>
      </c>
      <c r="O70" s="11" t="n">
        <v>0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Automation</t>
        </is>
      </c>
      <c r="B71" s="28" t="inlineStr">
        <is>
          <t>FILTER-13426</t>
        </is>
      </c>
      <c r="C71" s="20" t="inlineStr">
        <is>
          <t>QA- MT User &gt;&gt; Filter &gt;&gt; Users. Clicking on Users redirects MT user to Policy Editor by auto reload</t>
        </is>
      </c>
      <c r="D71" t="inlineStr">
        <is>
          <t>FILTER-13423</t>
        </is>
      </c>
      <c r="E71" t="inlineStr">
        <is>
          <t>Defect</t>
        </is>
      </c>
      <c r="F71" t="inlineStr">
        <is>
          <t>Amit Shete</t>
        </is>
      </c>
      <c r="G71" t="inlineStr">
        <is>
          <t>Closed without action</t>
        </is>
      </c>
      <c r="H71" t="inlineStr"/>
      <c r="I71" t="inlineStr">
        <is>
          <t>P2</t>
        </is>
      </c>
      <c r="J71" s="29" t="n">
        <v>46121</v>
      </c>
      <c r="L71" s="29" t="n">
        <v>46126</v>
      </c>
      <c r="M71" t="inlineStr">
        <is>
          <t>sprint-Gonzalo</t>
        </is>
      </c>
      <c r="N71" s="11" t="n">
        <v>0</v>
      </c>
      <c r="O71" s="11" t="n">
        <v>0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Automation</t>
        </is>
      </c>
      <c r="B72" s="28" t="inlineStr">
        <is>
          <t>FILTER-13437</t>
        </is>
      </c>
      <c r="C72" s="20" t="inlineStr">
        <is>
          <t>QA- Safety Console &gt;&gt; Filter. Extension. Dual Provision Kid with SG policy higher than OU/SSU, does not generate cases</t>
        </is>
      </c>
      <c r="D72" t="inlineStr">
        <is>
          <t>FILTER-13434</t>
        </is>
      </c>
      <c r="E72" t="inlineStr">
        <is>
          <t>Escape Defect</t>
        </is>
      </c>
      <c r="F72" t="inlineStr">
        <is>
          <t>Amit Shete</t>
        </is>
      </c>
      <c r="G72" t="inlineStr">
        <is>
          <t>Closed without action</t>
        </is>
      </c>
      <c r="H72" t="inlineStr"/>
      <c r="I72" t="inlineStr">
        <is>
          <t>P0</t>
        </is>
      </c>
      <c r="J72" s="29" t="n">
        <v>46122</v>
      </c>
      <c r="L72" s="29" t="n">
        <v>46126</v>
      </c>
      <c r="M72" t="inlineStr">
        <is>
          <t>sprint-Gonzalo</t>
        </is>
      </c>
      <c r="N72" s="11" t="n">
        <v>0</v>
      </c>
      <c r="O72" s="11" t="n">
        <v>0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Automation</t>
        </is>
      </c>
      <c r="B73" s="28" t="inlineStr">
        <is>
          <t>FILTER-13453</t>
        </is>
      </c>
      <c r="C73" s="20" t="inlineStr">
        <is>
          <t>QA- Support Tool. Even if the user selects another FID from the FID Detail page's FID name dropdown, the new FID details are not updated on the Detail Page.</t>
        </is>
      </c>
      <c r="D73" t="inlineStr">
        <is>
          <t>FILTER-13450</t>
        </is>
      </c>
      <c r="E73" t="inlineStr">
        <is>
          <t>Escape Defect</t>
        </is>
      </c>
      <c r="F73" t="inlineStr">
        <is>
          <t>Amit Shete</t>
        </is>
      </c>
      <c r="G73" t="inlineStr">
        <is>
          <t>Closed without action</t>
        </is>
      </c>
      <c r="H73" t="inlineStr"/>
      <c r="I73" t="inlineStr">
        <is>
          <t>P1</t>
        </is>
      </c>
      <c r="J73" s="29" t="n">
        <v>46123</v>
      </c>
      <c r="L73" s="29" t="n">
        <v>46126</v>
      </c>
      <c r="M73" t="inlineStr">
        <is>
          <t>sprint-Gonzalo</t>
        </is>
      </c>
      <c r="N73" s="11" t="n">
        <v>0</v>
      </c>
      <c r="O73" s="11" t="n">
        <v>0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Automation</t>
        </is>
      </c>
      <c r="B74" s="28" t="inlineStr">
        <is>
          <t>FILTER-13473</t>
        </is>
      </c>
      <c r="C74" s="20" t="inlineStr">
        <is>
          <t>QA- Safety Console &gt;&gt; Filter. Custom Groups page is blank for Dual Provision FID.</t>
        </is>
      </c>
      <c r="D74" t="inlineStr">
        <is>
          <t>FILTER-13470</t>
        </is>
      </c>
      <c r="E74" t="inlineStr">
        <is>
          <t>Escape Defect</t>
        </is>
      </c>
      <c r="F74" t="inlineStr">
        <is>
          <t>Amit Shete</t>
        </is>
      </c>
      <c r="G74" t="inlineStr">
        <is>
          <t>Closed without action</t>
        </is>
      </c>
      <c r="H74" t="inlineStr"/>
      <c r="I74" t="inlineStr">
        <is>
          <t>P0</t>
        </is>
      </c>
      <c r="J74" s="29" t="n">
        <v>46123</v>
      </c>
      <c r="L74" s="29" t="n">
        <v>46126</v>
      </c>
      <c r="M74" t="inlineStr">
        <is>
          <t>sprint-Gonzalo</t>
        </is>
      </c>
      <c r="N74" s="11" t="n">
        <v>0</v>
      </c>
      <c r="O74" s="11" t="n">
        <v>0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Automation</t>
        </is>
      </c>
      <c r="B75" s="28" t="inlineStr">
        <is>
          <t>FILTER-13497</t>
        </is>
      </c>
      <c r="C75" s="20" t="inlineStr">
        <is>
          <t>QA- Custom groups are not displayed</t>
        </is>
      </c>
      <c r="D75" t="inlineStr">
        <is>
          <t>FILTER-13494</t>
        </is>
      </c>
      <c r="E75" t="inlineStr">
        <is>
          <t>Escape Defect</t>
        </is>
      </c>
      <c r="F75" t="inlineStr">
        <is>
          <t>Amit Shete</t>
        </is>
      </c>
      <c r="G75" t="inlineStr">
        <is>
          <t>Closed without action</t>
        </is>
      </c>
      <c r="H75" t="inlineStr"/>
      <c r="I75" t="inlineStr">
        <is>
          <t>P2</t>
        </is>
      </c>
      <c r="J75" s="29" t="n">
        <v>46124</v>
      </c>
      <c r="L75" s="29" t="n">
        <v>46126</v>
      </c>
      <c r="M75" t="inlineStr">
        <is>
          <t>sprint-Gonzalo</t>
        </is>
      </c>
      <c r="N75" s="11" t="n">
        <v>0</v>
      </c>
      <c r="O75" s="11" t="n">
        <v>0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Automation</t>
        </is>
      </c>
      <c r="B76" s="28" t="inlineStr">
        <is>
          <t>FILTER-12450</t>
        </is>
      </c>
      <c r="C76" s="20" t="inlineStr">
        <is>
          <t xml:space="preserve">QA- Site not loading correctly with extension </t>
        </is>
      </c>
      <c r="D76" t="inlineStr">
        <is>
          <t>FILTER-12447</t>
        </is>
      </c>
      <c r="E76" t="inlineStr">
        <is>
          <t>Escape Defect</t>
        </is>
      </c>
      <c r="F76" t="inlineStr">
        <is>
          <t>Amol Mithari</t>
        </is>
      </c>
      <c r="G76" t="inlineStr">
        <is>
          <t>Done</t>
        </is>
      </c>
      <c r="H76" t="inlineStr"/>
      <c r="I76" t="inlineStr">
        <is>
          <t>P3</t>
        </is>
      </c>
      <c r="J76" s="29" t="n">
        <v>46093</v>
      </c>
      <c r="L76" s="29" t="n">
        <v>46138</v>
      </c>
      <c r="M76" t="inlineStr">
        <is>
          <t>sprint-Gonzalo</t>
        </is>
      </c>
      <c r="N76" s="11" t="n">
        <v>2</v>
      </c>
      <c r="O76" s="11" t="n">
        <v>2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Automation</t>
        </is>
      </c>
      <c r="B77" s="28" t="inlineStr">
        <is>
          <t>FILTER-12851</t>
        </is>
      </c>
      <c r="C77" s="20" t="inlineStr">
        <is>
          <t>QA- [Edge] - Bing allow p o r n search</t>
        </is>
      </c>
      <c r="D77" t="inlineStr">
        <is>
          <t>FILTER-12848</t>
        </is>
      </c>
      <c r="E77" t="inlineStr">
        <is>
          <t>Defect</t>
        </is>
      </c>
      <c r="F77" t="inlineStr">
        <is>
          <t>Amol Mithari</t>
        </is>
      </c>
      <c r="G77" t="inlineStr">
        <is>
          <t>Done</t>
        </is>
      </c>
      <c r="H77" t="inlineStr"/>
      <c r="I77" t="inlineStr">
        <is>
          <t>P3</t>
        </is>
      </c>
      <c r="J77" s="29" t="n">
        <v>46108</v>
      </c>
      <c r="L77" s="29" t="n">
        <v>46126</v>
      </c>
      <c r="M77" t="inlineStr">
        <is>
          <t>sprint-Gonzalo</t>
        </is>
      </c>
      <c r="N77" s="11" t="n">
        <v>2</v>
      </c>
      <c r="O77" s="11" t="n">
        <v>2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Automation</t>
        </is>
      </c>
      <c r="B78" s="28" t="inlineStr">
        <is>
          <t>FILTER-13012</t>
        </is>
      </c>
      <c r="C78" s="20" t="inlineStr">
        <is>
          <t>QA- CLONE - [Edge-TS] - Blocked Google search triggers an infinite window.alert popup loop, locking the entire browser</t>
        </is>
      </c>
      <c r="D78" t="inlineStr">
        <is>
          <t>FILTER-13009</t>
        </is>
      </c>
      <c r="E78" t="inlineStr">
        <is>
          <t>Defect</t>
        </is>
      </c>
      <c r="F78" t="inlineStr">
        <is>
          <t>Amol Mithari</t>
        </is>
      </c>
      <c r="G78" t="inlineStr">
        <is>
          <t>Closed without action</t>
        </is>
      </c>
      <c r="H78" t="inlineStr"/>
      <c r="I78" t="inlineStr">
        <is>
          <t>P0</t>
        </is>
      </c>
      <c r="J78" s="29" t="n">
        <v>46111</v>
      </c>
      <c r="L78" s="29" t="n">
        <v>46118</v>
      </c>
      <c r="M78" t="inlineStr">
        <is>
          <t>sprint-Gonzalo</t>
        </is>
      </c>
      <c r="N78" s="11" t="n">
        <v>0</v>
      </c>
      <c r="O78" s="11" t="n">
        <v>0</v>
      </c>
      <c r="P78" t="inlineStr">
        <is>
          <t>FILTER</t>
        </is>
      </c>
      <c r="Q78" t="inlineStr"/>
      <c r="R78" t="inlineStr"/>
      <c r="S78" t="inlineStr"/>
    </row>
    <row r="79">
      <c r="A79" t="inlineStr">
        <is>
          <t>Automation</t>
        </is>
      </c>
      <c r="B79" s="28" t="inlineStr">
        <is>
          <t>FILTER-13034</t>
        </is>
      </c>
      <c r="C79" s="20" t="inlineStr">
        <is>
          <t>QA- Automate performance testing for tokenization cron job</t>
        </is>
      </c>
      <c r="D79" t="inlineStr">
        <is>
          <t>FILTER-13031</t>
        </is>
      </c>
      <c r="E79" t="inlineStr">
        <is>
          <t>Task</t>
        </is>
      </c>
      <c r="F79" t="inlineStr">
        <is>
          <t>Amol Mithari</t>
        </is>
      </c>
      <c r="G79" t="inlineStr">
        <is>
          <t>Done</t>
        </is>
      </c>
      <c r="H79" t="inlineStr"/>
      <c r="I79" t="inlineStr">
        <is>
          <t>P3</t>
        </is>
      </c>
      <c r="J79" s="29" t="n">
        <v>46112</v>
      </c>
      <c r="L79" s="29" t="n">
        <v>46126</v>
      </c>
      <c r="M79" t="inlineStr">
        <is>
          <t>sprint-Gonzalo</t>
        </is>
      </c>
      <c r="N79" s="11" t="n">
        <v>10</v>
      </c>
      <c r="O79" s="11" t="n">
        <v>5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Automation</t>
        </is>
      </c>
      <c r="B80" s="28" t="inlineStr">
        <is>
          <t>FILTER-13042</t>
        </is>
      </c>
      <c r="C80" s="20" t="inlineStr">
        <is>
          <t xml:space="preserve">QA- Win Ext : TS, Repeated searches on bing.com is not brokering </t>
        </is>
      </c>
      <c r="D80" t="inlineStr">
        <is>
          <t>FILTER-13039</t>
        </is>
      </c>
      <c r="E80" t="inlineStr">
        <is>
          <t>Defect</t>
        </is>
      </c>
      <c r="F80" t="inlineStr">
        <is>
          <t>Amol Mithari</t>
        </is>
      </c>
      <c r="G80" t="inlineStr">
        <is>
          <t>Done</t>
        </is>
      </c>
      <c r="H80" t="inlineStr"/>
      <c r="I80" t="inlineStr">
        <is>
          <t>P2</t>
        </is>
      </c>
      <c r="J80" s="29" t="n">
        <v>46112</v>
      </c>
      <c r="L80" s="29" t="n">
        <v>46126</v>
      </c>
      <c r="M80" t="inlineStr">
        <is>
          <t>sprint-Gonzalo</t>
        </is>
      </c>
      <c r="N80" s="11" t="n">
        <v>2</v>
      </c>
      <c r="O80" s="11" t="n">
        <v>2</v>
      </c>
      <c r="P80" t="inlineStr">
        <is>
          <t>FILTER</t>
        </is>
      </c>
      <c r="Q80" t="inlineStr"/>
      <c r="R80" t="inlineStr"/>
      <c r="S80" t="inlineStr"/>
    </row>
    <row r="81">
      <c r="A81" t="inlineStr">
        <is>
          <t>Dev</t>
        </is>
      </c>
      <c r="B81" s="28" t="inlineStr">
        <is>
          <t>FILTER-11381</t>
        </is>
      </c>
      <c r="C81" s="20" t="inlineStr">
        <is>
          <t>Fix CRXTN Logging Failure: Incomplete YouTube URL Captured from Embedded Video Clicks</t>
        </is>
      </c>
      <c r="D81" t="inlineStr">
        <is>
          <t>FILTER-11181</t>
        </is>
      </c>
      <c r="E81" t="inlineStr">
        <is>
          <t>Escape Defect</t>
        </is>
      </c>
      <c r="F81" t="inlineStr">
        <is>
          <t>Arun Thakur</t>
        </is>
      </c>
      <c r="G81" t="inlineStr">
        <is>
          <t>Done</t>
        </is>
      </c>
      <c r="H81" t="inlineStr"/>
      <c r="I81" t="inlineStr">
        <is>
          <t>P2</t>
        </is>
      </c>
      <c r="J81" s="29" t="n">
        <v>46000</v>
      </c>
      <c r="L81" s="29" t="n">
        <v>46129</v>
      </c>
      <c r="M81" t="inlineStr">
        <is>
          <t>sprint-Gonzalo</t>
        </is>
      </c>
      <c r="N81" s="11" t="n">
        <v>6</v>
      </c>
      <c r="O81" s="11" t="n">
        <v>4</v>
      </c>
      <c r="P81" t="inlineStr">
        <is>
          <t>FILTER</t>
        </is>
      </c>
      <c r="Q81" t="inlineStr"/>
      <c r="R81" t="inlineStr"/>
      <c r="S81" t="inlineStr"/>
    </row>
    <row r="82">
      <c r="A82" t="inlineStr">
        <is>
          <t>Dev</t>
        </is>
      </c>
      <c r="B82" s="28" t="inlineStr">
        <is>
          <t>FILTER-11846</t>
        </is>
      </c>
      <c r="C82" s="20" t="inlineStr">
        <is>
          <t>GIF on Mouse Hover Becomes Visible and Clickable When Blur is Applied</t>
        </is>
      </c>
      <c r="D82" t="inlineStr">
        <is>
          <t>FILTER-11033</t>
        </is>
      </c>
      <c r="E82" t="inlineStr">
        <is>
          <t>Defect</t>
        </is>
      </c>
      <c r="F82" t="inlineStr">
        <is>
          <t>Arun Thakur</t>
        </is>
      </c>
      <c r="G82" t="inlineStr">
        <is>
          <t>Closed without action</t>
        </is>
      </c>
      <c r="H82" t="inlineStr"/>
      <c r="I82" t="inlineStr">
        <is>
          <t>P2</t>
        </is>
      </c>
      <c r="J82" s="29" t="n">
        <v>46051</v>
      </c>
      <c r="L82" s="29" t="n">
        <v>46118</v>
      </c>
      <c r="M82" t="inlineStr">
        <is>
          <t>sprint-Gonzalo</t>
        </is>
      </c>
      <c r="N82" s="11" t="n">
        <v>10</v>
      </c>
      <c r="O82" s="11" t="n">
        <v>8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Dev</t>
        </is>
      </c>
      <c r="B83" s="28" t="inlineStr">
        <is>
          <t>FILTER-12157</t>
        </is>
      </c>
      <c r="C83" s="20" t="inlineStr">
        <is>
          <t>DEV - JS (All Extensions) Images which behave as "show more" links are not blurred</t>
        </is>
      </c>
      <c r="D83" t="inlineStr">
        <is>
          <t>FILTER-12156</t>
        </is>
      </c>
      <c r="E83" t="inlineStr">
        <is>
          <t>Defect</t>
        </is>
      </c>
      <c r="F83" t="inlineStr">
        <is>
          <t>Arun Thakur</t>
        </is>
      </c>
      <c r="G83" t="inlineStr">
        <is>
          <t>Done</t>
        </is>
      </c>
      <c r="H83" t="inlineStr"/>
      <c r="I83" t="inlineStr">
        <is>
          <t>P3</t>
        </is>
      </c>
      <c r="J83" s="29" t="n">
        <v>46077</v>
      </c>
      <c r="L83" s="29" t="n">
        <v>46118</v>
      </c>
      <c r="M83" t="inlineStr">
        <is>
          <t>sprint-Gonzalo</t>
        </is>
      </c>
      <c r="N83" s="11" t="n">
        <v>8</v>
      </c>
      <c r="O83" s="11" t="n">
        <v>8</v>
      </c>
      <c r="P83" t="inlineStr">
        <is>
          <t>FILTER</t>
        </is>
      </c>
      <c r="Q83" t="inlineStr"/>
      <c r="R83" t="inlineStr"/>
      <c r="S83" t="inlineStr"/>
    </row>
    <row r="84">
      <c r="A84" t="inlineStr">
        <is>
          <t>Dev</t>
        </is>
      </c>
      <c r="B84" s="28" t="inlineStr">
        <is>
          <t>FILTER-12229</t>
        </is>
      </c>
      <c r="C84" s="20" t="inlineStr">
        <is>
          <t>DEV - JS (All Extensions): Youtube.YT logo on YT page, YT search page, YT video page and YT shorts is not clickable</t>
        </is>
      </c>
      <c r="D84" t="inlineStr">
        <is>
          <t>FILTER-12228</t>
        </is>
      </c>
      <c r="E84" t="inlineStr">
        <is>
          <t>Defect</t>
        </is>
      </c>
      <c r="F84" t="inlineStr">
        <is>
          <t>Arun Thakur</t>
        </is>
      </c>
      <c r="G84" t="inlineStr">
        <is>
          <t>Closed without action</t>
        </is>
      </c>
      <c r="H84" t="inlineStr"/>
      <c r="I84" t="inlineStr">
        <is>
          <t>P1</t>
        </is>
      </c>
      <c r="J84" s="29" t="n">
        <v>46078</v>
      </c>
      <c r="L84" s="29" t="n">
        <v>46127</v>
      </c>
      <c r="M84" t="inlineStr">
        <is>
          <t>sprint-Gonzalo</t>
        </is>
      </c>
      <c r="N84" s="11" t="n">
        <v>0</v>
      </c>
      <c r="O84" s="11" t="n">
        <v>0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Dev</t>
        </is>
      </c>
      <c r="B85" s="28" t="inlineStr">
        <is>
          <t>FILTER-12266</t>
        </is>
      </c>
      <c r="C85" s="20" t="inlineStr">
        <is>
          <t>DEV - JS (All Extensions): Securly Filter Dashboard YT videos thumbnails are blurred</t>
        </is>
      </c>
      <c r="D85" t="inlineStr">
        <is>
          <t>FILTER-12265</t>
        </is>
      </c>
      <c r="E85" t="inlineStr">
        <is>
          <t>Defect</t>
        </is>
      </c>
      <c r="F85" t="inlineStr">
        <is>
          <t>Arun Thakur</t>
        </is>
      </c>
      <c r="G85" t="inlineStr">
        <is>
          <t>Closed without action</t>
        </is>
      </c>
      <c r="H85" t="inlineStr"/>
      <c r="I85" t="inlineStr">
        <is>
          <t>P2</t>
        </is>
      </c>
      <c r="J85" s="29" t="n">
        <v>46079</v>
      </c>
      <c r="L85" s="29" t="n">
        <v>46118</v>
      </c>
      <c r="M85" t="inlineStr">
        <is>
          <t>sprint-Gonzalo</t>
        </is>
      </c>
      <c r="N85" s="11" t="n">
        <v>0</v>
      </c>
      <c r="O85" s="11" t="n">
        <v>0</v>
      </c>
      <c r="P85" t="inlineStr">
        <is>
          <t>FILTER</t>
        </is>
      </c>
      <c r="Q85" t="inlineStr"/>
      <c r="R85" t="inlineStr"/>
      <c r="S85" t="inlineStr"/>
    </row>
    <row r="86">
      <c r="A86" t="inlineStr">
        <is>
          <t>Dev</t>
        </is>
      </c>
      <c r="B86" s="28" t="inlineStr">
        <is>
          <t>FILTER-12270</t>
        </is>
      </c>
      <c r="C86" s="20" t="inlineStr">
        <is>
          <t>DEV - CLONE - JS (Windows+ Edge) Extensions. Securly Filter Dashboard YT videos thumbnails are blurred</t>
        </is>
      </c>
      <c r="D86" t="inlineStr">
        <is>
          <t>FILTER-12265</t>
        </is>
      </c>
      <c r="E86" t="inlineStr">
        <is>
          <t>Defect</t>
        </is>
      </c>
      <c r="F86" t="inlineStr">
        <is>
          <t>Arun Thakur</t>
        </is>
      </c>
      <c r="G86" t="inlineStr">
        <is>
          <t>Done</t>
        </is>
      </c>
      <c r="H86" t="inlineStr"/>
      <c r="I86" t="inlineStr">
        <is>
          <t>P1</t>
        </is>
      </c>
      <c r="J86" s="29" t="n">
        <v>46079</v>
      </c>
      <c r="L86" s="29" t="n">
        <v>46118</v>
      </c>
      <c r="M86" t="inlineStr">
        <is>
          <t>sprint-Gonzalo</t>
        </is>
      </c>
      <c r="N86" s="11" t="n">
        <v>4</v>
      </c>
      <c r="O86" s="11" t="n">
        <v>4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Dev</t>
        </is>
      </c>
      <c r="B87" s="28" t="inlineStr">
        <is>
          <t>FILTER-12273</t>
        </is>
      </c>
      <c r="C87" s="20" t="inlineStr">
        <is>
          <t>DEV - CLONE - JS (Windows+ Edge) Extensions. SFW images are also getting blurred by the model</t>
        </is>
      </c>
      <c r="D87" t="inlineStr">
        <is>
          <t>FILTER-12272</t>
        </is>
      </c>
      <c r="E87" t="inlineStr">
        <is>
          <t>Defect</t>
        </is>
      </c>
      <c r="F87" t="inlineStr">
        <is>
          <t>Arun Thakur</t>
        </is>
      </c>
      <c r="G87" t="inlineStr">
        <is>
          <t>Closed without action</t>
        </is>
      </c>
      <c r="H87" t="inlineStr"/>
      <c r="I87" t="inlineStr">
        <is>
          <t>P1</t>
        </is>
      </c>
      <c r="J87" s="29" t="n">
        <v>46079</v>
      </c>
      <c r="L87" s="29" t="n">
        <v>46118</v>
      </c>
      <c r="M87" t="inlineStr">
        <is>
          <t>sprint-Gonzalo</t>
        </is>
      </c>
      <c r="N87" s="11" t="n">
        <v>0</v>
      </c>
      <c r="O87" s="11" t="n">
        <v>0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Dev</t>
        </is>
      </c>
      <c r="B88" s="28" t="inlineStr">
        <is>
          <t>FILTER-12276</t>
        </is>
      </c>
      <c r="C88" s="20" t="inlineStr">
        <is>
          <t>DEV - CLONE - JS (Windows+ Edge) Extensions. Image Blur. Amazon.com is accessible but links/logo/dropdowns not clickable</t>
        </is>
      </c>
      <c r="D88" t="inlineStr">
        <is>
          <t>FILTER-12272</t>
        </is>
      </c>
      <c r="E88" t="inlineStr">
        <is>
          <t>Defect</t>
        </is>
      </c>
      <c r="F88" t="inlineStr">
        <is>
          <t>Arun Thakur</t>
        </is>
      </c>
      <c r="G88" t="inlineStr">
        <is>
          <t>Done</t>
        </is>
      </c>
      <c r="H88" t="inlineStr"/>
      <c r="I88" t="inlineStr">
        <is>
          <t>P1</t>
        </is>
      </c>
      <c r="J88" s="29" t="n">
        <v>46079</v>
      </c>
      <c r="L88" s="29" t="n">
        <v>46118</v>
      </c>
      <c r="M88" t="inlineStr">
        <is>
          <t>sprint-Gonzalo</t>
        </is>
      </c>
      <c r="N88" s="11" t="n">
        <v>6</v>
      </c>
      <c r="O88" s="11" t="n">
        <v>6</v>
      </c>
      <c r="P88" t="inlineStr">
        <is>
          <t>FILTER</t>
        </is>
      </c>
      <c r="Q88" t="inlineStr"/>
      <c r="R88" t="inlineStr"/>
      <c r="S88" t="inlineStr"/>
    </row>
    <row r="89">
      <c r="A89" t="inlineStr">
        <is>
          <t>Dev</t>
        </is>
      </c>
      <c r="B89" s="28" t="inlineStr">
        <is>
          <t>FILTER-12285</t>
        </is>
      </c>
      <c r="C89" s="20" t="inlineStr">
        <is>
          <t xml:space="preserve">DEV - JS (All Extensions) image blur on GDrive. blurred images can be accessed by accessing unblurred images </t>
        </is>
      </c>
      <c r="D89" t="inlineStr">
        <is>
          <t>FILTER-12284</t>
        </is>
      </c>
      <c r="E89" t="inlineStr">
        <is>
          <t>Defect</t>
        </is>
      </c>
      <c r="F89" t="inlineStr">
        <is>
          <t>Arun Thakur</t>
        </is>
      </c>
      <c r="G89" t="inlineStr">
        <is>
          <t>Done</t>
        </is>
      </c>
      <c r="H89" t="inlineStr"/>
      <c r="I89" t="inlineStr">
        <is>
          <t>P1</t>
        </is>
      </c>
      <c r="J89" s="29" t="n">
        <v>46079</v>
      </c>
      <c r="L89" s="29" t="n">
        <v>46120</v>
      </c>
      <c r="M89" t="inlineStr">
        <is>
          <t>sprint-Gonzalo</t>
        </is>
      </c>
      <c r="N89" s="11" t="n">
        <v>10</v>
      </c>
      <c r="O89" s="11" t="n">
        <v>10</v>
      </c>
      <c r="P89" t="inlineStr">
        <is>
          <t>FILTER</t>
        </is>
      </c>
      <c r="Q89" t="inlineStr"/>
      <c r="R89" t="inlineStr"/>
      <c r="S89" t="inlineStr"/>
    </row>
    <row r="90">
      <c r="A90" t="inlineStr">
        <is>
          <t>Dev</t>
        </is>
      </c>
      <c r="B90" s="28" t="inlineStr">
        <is>
          <t>FILTER-12533</t>
        </is>
      </c>
      <c r="C90" s="20" t="inlineStr">
        <is>
          <t>DEV - JS (All Extensions) Image Blur. Images created by AI are not getting blurred on AI screen but if the links are accessed they are getting blurred in other tab</t>
        </is>
      </c>
      <c r="D90" t="inlineStr">
        <is>
          <t>FILTER-12275</t>
        </is>
      </c>
      <c r="E90" t="inlineStr">
        <is>
          <t>Defect</t>
        </is>
      </c>
      <c r="F90" t="inlineStr">
        <is>
          <t>Arun Thakur</t>
        </is>
      </c>
      <c r="G90" t="inlineStr">
        <is>
          <t>Done</t>
        </is>
      </c>
      <c r="H90" t="inlineStr"/>
      <c r="I90" t="inlineStr">
        <is>
          <t>P1</t>
        </is>
      </c>
      <c r="J90" s="29" t="n">
        <v>46098</v>
      </c>
      <c r="L90" s="29" t="n">
        <v>46120</v>
      </c>
      <c r="M90" t="inlineStr">
        <is>
          <t>sprint-Gonzalo</t>
        </is>
      </c>
      <c r="N90" s="11" t="n">
        <v>10</v>
      </c>
      <c r="O90" s="11" t="n">
        <v>10</v>
      </c>
      <c r="P90" t="inlineStr">
        <is>
          <t>FILTER</t>
        </is>
      </c>
      <c r="Q90" t="inlineStr"/>
      <c r="R90" t="inlineStr"/>
      <c r="S90" t="inlineStr"/>
    </row>
    <row r="91">
      <c r="A91" t="inlineStr">
        <is>
          <t>Dev</t>
        </is>
      </c>
      <c r="B91" s="28" t="inlineStr">
        <is>
          <t>FILTER-13416</t>
        </is>
      </c>
      <c r="C91" s="20" t="inlineStr">
        <is>
          <t>DEV - MT User &gt;&gt; Filter &gt;&gt; Policy Editor. After making any changes to any policy, MT user is taken to Global policy.</t>
        </is>
      </c>
      <c r="D91" t="inlineStr">
        <is>
          <t>FILTER-13415</t>
        </is>
      </c>
      <c r="E91" t="inlineStr">
        <is>
          <t>Defect</t>
        </is>
      </c>
      <c r="F91" t="inlineStr">
        <is>
          <t>Arun Thakur</t>
        </is>
      </c>
      <c r="G91" t="inlineStr">
        <is>
          <t>Done</t>
        </is>
      </c>
      <c r="H91" t="inlineStr"/>
      <c r="I91" t="inlineStr">
        <is>
          <t>P2</t>
        </is>
      </c>
      <c r="J91" s="29" t="n">
        <v>46121</v>
      </c>
      <c r="L91" s="29" t="n">
        <v>46126</v>
      </c>
      <c r="M91" t="inlineStr">
        <is>
          <t>sprint-Gonzalo</t>
        </is>
      </c>
      <c r="N91" s="11" t="n">
        <v>2</v>
      </c>
      <c r="O91" s="11" t="n">
        <v>2</v>
      </c>
      <c r="P91" t="inlineStr">
        <is>
          <t>FILTER</t>
        </is>
      </c>
      <c r="Q91" t="inlineStr"/>
      <c r="R91" t="inlineStr"/>
      <c r="S91" t="inlineStr"/>
    </row>
    <row r="92">
      <c r="A92" t="inlineStr">
        <is>
          <t>Dev</t>
        </is>
      </c>
      <c r="B92" s="28" t="inlineStr">
        <is>
          <t>FILTER-13420</t>
        </is>
      </c>
      <c r="C92" s="20" t="inlineStr">
        <is>
          <t>DEV - MT User &gt;&gt; Filter &gt;&gt; Policy Editor. MT not able to Create or Clone policies</t>
        </is>
      </c>
      <c r="D92" t="inlineStr">
        <is>
          <t>FILTER-13419</t>
        </is>
      </c>
      <c r="E92" t="inlineStr">
        <is>
          <t>Defect</t>
        </is>
      </c>
      <c r="F92" t="inlineStr">
        <is>
          <t>Arun Thakur</t>
        </is>
      </c>
      <c r="G92" t="inlineStr">
        <is>
          <t>Done</t>
        </is>
      </c>
      <c r="H92" t="inlineStr"/>
      <c r="I92" t="inlineStr">
        <is>
          <t>P1</t>
        </is>
      </c>
      <c r="J92" s="29" t="n">
        <v>46121</v>
      </c>
      <c r="L92" s="29" t="n">
        <v>46126</v>
      </c>
      <c r="M92" t="inlineStr">
        <is>
          <t>sprint-Gonzalo</t>
        </is>
      </c>
      <c r="N92" s="11" t="n">
        <v>2</v>
      </c>
      <c r="O92" s="11" t="n">
        <v>2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Dev</t>
        </is>
      </c>
      <c r="B93" s="28" t="inlineStr">
        <is>
          <t>FILTER-13424</t>
        </is>
      </c>
      <c r="C93" s="20" t="inlineStr">
        <is>
          <t>DEV - MT User &gt;&gt; Filter &gt;&gt; Users. Clicking on Users redirects MT user to Policy Editor by auto reload</t>
        </is>
      </c>
      <c r="D93" t="inlineStr">
        <is>
          <t>FILTER-13423</t>
        </is>
      </c>
      <c r="E93" t="inlineStr">
        <is>
          <t>Defect</t>
        </is>
      </c>
      <c r="F93" t="inlineStr">
        <is>
          <t>Arun Thakur</t>
        </is>
      </c>
      <c r="G93" t="inlineStr">
        <is>
          <t>Done</t>
        </is>
      </c>
      <c r="H93" t="inlineStr"/>
      <c r="I93" t="inlineStr">
        <is>
          <t>P2</t>
        </is>
      </c>
      <c r="J93" s="29" t="n">
        <v>46121</v>
      </c>
      <c r="L93" s="29" t="n">
        <v>46126</v>
      </c>
      <c r="M93" t="inlineStr">
        <is>
          <t>sprint-Gonzalo</t>
        </is>
      </c>
      <c r="N93" s="11" t="n">
        <v>6</v>
      </c>
      <c r="O93" s="11" t="n">
        <v>6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Dev</t>
        </is>
      </c>
      <c r="B94" s="28" t="inlineStr">
        <is>
          <t>FILTER-13451</t>
        </is>
      </c>
      <c r="C94" s="20" t="inlineStr">
        <is>
          <t>DEV - Support Tool. Even if the user selects another FID from the FID Detail page's FID name dropdown, the new FID details are not updated on the Detail Page.</t>
        </is>
      </c>
      <c r="D94" t="inlineStr">
        <is>
          <t>FILTER-13450</t>
        </is>
      </c>
      <c r="E94" t="inlineStr">
        <is>
          <t>Escape Defect</t>
        </is>
      </c>
      <c r="F94" t="inlineStr">
        <is>
          <t>Arun Thakur</t>
        </is>
      </c>
      <c r="G94" t="inlineStr">
        <is>
          <t>Done</t>
        </is>
      </c>
      <c r="H94" t="inlineStr"/>
      <c r="I94" t="inlineStr">
        <is>
          <t>P1</t>
        </is>
      </c>
      <c r="J94" s="29" t="n">
        <v>46123</v>
      </c>
      <c r="L94" s="29" t="n">
        <v>46125</v>
      </c>
      <c r="M94" t="inlineStr">
        <is>
          <t>sprint-Gonzalo</t>
        </is>
      </c>
      <c r="N94" s="11" t="n">
        <v>5</v>
      </c>
      <c r="O94" s="11" t="n">
        <v>4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Dev</t>
        </is>
      </c>
      <c r="B95" s="28" t="inlineStr">
        <is>
          <t>FILTER-12686</t>
        </is>
      </c>
      <c r="C95" s="20" t="inlineStr">
        <is>
          <t>DEV - [Edge] Overlay gets stuck in an infinite loading loop on YouTube thumbnails</t>
        </is>
      </c>
      <c r="D95" t="inlineStr">
        <is>
          <t>FILTER-12685</t>
        </is>
      </c>
      <c r="E95" t="inlineStr">
        <is>
          <t>Defect</t>
        </is>
      </c>
      <c r="F95" t="inlineStr">
        <is>
          <t>Ashish Modak</t>
        </is>
      </c>
      <c r="G95" t="inlineStr">
        <is>
          <t>Closed without action</t>
        </is>
      </c>
      <c r="H95" t="inlineStr"/>
      <c r="I95" t="inlineStr">
        <is>
          <t>P1</t>
        </is>
      </c>
      <c r="J95" s="29" t="n">
        <v>46106</v>
      </c>
      <c r="L95" s="29" t="n">
        <v>46118</v>
      </c>
      <c r="M95" t="inlineStr">
        <is>
          <t>sprint-Gonzalo</t>
        </is>
      </c>
      <c r="N95" s="11" t="n">
        <v>0</v>
      </c>
      <c r="O95" s="11" t="n">
        <v>1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Dev</t>
        </is>
      </c>
      <c r="B96" s="28" t="inlineStr">
        <is>
          <t>FILTER-12849</t>
        </is>
      </c>
      <c r="C96" s="20" t="inlineStr">
        <is>
          <t>DEV - [Edge] - Bing allow p o r n search</t>
        </is>
      </c>
      <c r="D96" t="inlineStr">
        <is>
          <t>FILTER-12848</t>
        </is>
      </c>
      <c r="E96" t="inlineStr">
        <is>
          <t>Defect</t>
        </is>
      </c>
      <c r="F96" t="inlineStr">
        <is>
          <t>Ashish Modak</t>
        </is>
      </c>
      <c r="G96" t="inlineStr">
        <is>
          <t>Closed without action</t>
        </is>
      </c>
      <c r="H96" t="inlineStr"/>
      <c r="I96" t="inlineStr">
        <is>
          <t>P3</t>
        </is>
      </c>
      <c r="J96" s="29" t="n">
        <v>46108</v>
      </c>
      <c r="L96" s="29" t="n">
        <v>46126</v>
      </c>
      <c r="M96" t="inlineStr">
        <is>
          <t>sprint-Gonzalo</t>
        </is>
      </c>
      <c r="N96" s="11" t="n">
        <v>2</v>
      </c>
      <c r="O96" s="11" t="n">
        <v>8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Dev</t>
        </is>
      </c>
      <c r="B97" s="28" t="inlineStr">
        <is>
          <t>FILTER-12564</t>
        </is>
      </c>
      <c r="C97" s="20" t="inlineStr">
        <is>
          <t>DEV - [sprox] Keyword scanning is not working for all search engines except google.com</t>
        </is>
      </c>
      <c r="D97" t="inlineStr">
        <is>
          <t>FILTER-12563</t>
        </is>
      </c>
      <c r="E97" t="inlineStr">
        <is>
          <t>Defect</t>
        </is>
      </c>
      <c r="F97" t="inlineStr">
        <is>
          <t>Ashish Temurnikar</t>
        </is>
      </c>
      <c r="G97" t="inlineStr">
        <is>
          <t>Done</t>
        </is>
      </c>
      <c r="H97" t="inlineStr"/>
      <c r="I97" t="inlineStr">
        <is>
          <t>P1</t>
        </is>
      </c>
      <c r="J97" s="29" t="n">
        <v>46099</v>
      </c>
      <c r="L97" s="29" t="n">
        <v>46118</v>
      </c>
      <c r="M97" t="inlineStr">
        <is>
          <t>sprint-Gonzalo</t>
        </is>
      </c>
      <c r="N97" s="11" t="n">
        <v>16</v>
      </c>
      <c r="O97" s="11" t="n">
        <v>16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QA</t>
        </is>
      </c>
      <c r="B98" s="28" t="inlineStr">
        <is>
          <t>FILTER-11383</t>
        </is>
      </c>
      <c r="C98" s="20" t="inlineStr">
        <is>
          <t>Manual QA Validation for Incomplete YouTube URL Logging from Embedded Clicks</t>
        </is>
      </c>
      <c r="D98" t="inlineStr">
        <is>
          <t>FILTER-11181</t>
        </is>
      </c>
      <c r="E98" t="inlineStr">
        <is>
          <t>Escape Defect</t>
        </is>
      </c>
      <c r="F98" t="inlineStr">
        <is>
          <t>Ayesha Kamde</t>
        </is>
      </c>
      <c r="G98" t="inlineStr">
        <is>
          <t>Done</t>
        </is>
      </c>
      <c r="H98" t="inlineStr"/>
      <c r="I98" t="inlineStr">
        <is>
          <t>P2</t>
        </is>
      </c>
      <c r="J98" s="29" t="n">
        <v>46000</v>
      </c>
      <c r="L98" s="29" t="n">
        <v>46136</v>
      </c>
      <c r="M98" t="inlineStr">
        <is>
          <t>sprint-Gonzalo</t>
        </is>
      </c>
      <c r="N98" s="11" t="n">
        <v>6</v>
      </c>
      <c r="O98" s="11" t="n">
        <v>6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QA</t>
        </is>
      </c>
      <c r="B99" s="28" t="inlineStr">
        <is>
          <t>FILTER-11847</t>
        </is>
      </c>
      <c r="C99" s="20" t="inlineStr">
        <is>
          <t xml:space="preserve"> Verify Fix for GIF Hover Visibility and Clickability Issue on Blurred Content</t>
        </is>
      </c>
      <c r="D99" t="inlineStr">
        <is>
          <t>FILTER-11033</t>
        </is>
      </c>
      <c r="E99" t="inlineStr">
        <is>
          <t>Defect</t>
        </is>
      </c>
      <c r="F99" t="inlineStr">
        <is>
          <t>Ayesha Kamde</t>
        </is>
      </c>
      <c r="G99" t="inlineStr">
        <is>
          <t>Done</t>
        </is>
      </c>
      <c r="H99" t="inlineStr"/>
      <c r="I99" t="inlineStr">
        <is>
          <t>P2</t>
        </is>
      </c>
      <c r="J99" s="29" t="n">
        <v>46051</v>
      </c>
      <c r="L99" s="29" t="n">
        <v>46120</v>
      </c>
      <c r="M99" t="inlineStr">
        <is>
          <t>sprint-Gonzalo</t>
        </is>
      </c>
      <c r="N99" s="11" t="n">
        <v>2</v>
      </c>
      <c r="O99" s="11" t="n">
        <v>2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QA</t>
        </is>
      </c>
      <c r="B100" s="28" t="inlineStr">
        <is>
          <t>FILTER-11897</t>
        </is>
      </c>
      <c r="C100" s="20" t="inlineStr">
        <is>
          <t>Vector Expansion - Verify if http://kiddle/co/ is added to search scanning</t>
        </is>
      </c>
      <c r="D100" t="inlineStr">
        <is>
          <t>FILTER-11895</t>
        </is>
      </c>
      <c r="E100" t="inlineStr">
        <is>
          <t>Story</t>
        </is>
      </c>
      <c r="F100" t="inlineStr">
        <is>
          <t>Ayesha Kamde</t>
        </is>
      </c>
      <c r="G100" t="inlineStr">
        <is>
          <t>Done</t>
        </is>
      </c>
      <c r="H100" t="inlineStr"/>
      <c r="I100" t="inlineStr">
        <is>
          <t>P2</t>
        </is>
      </c>
      <c r="J100" s="29" t="n">
        <v>46051</v>
      </c>
      <c r="L100" s="29" t="n">
        <v>46118</v>
      </c>
      <c r="M100" t="inlineStr">
        <is>
          <t>sprint-Gonzalo</t>
        </is>
      </c>
      <c r="N100" s="11" t="n">
        <v>5</v>
      </c>
      <c r="O100" s="11" t="n">
        <v>6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QA</t>
        </is>
      </c>
      <c r="B101" s="28" t="inlineStr">
        <is>
          <t>FILTER-12158</t>
        </is>
      </c>
      <c r="C101" s="20" t="inlineStr">
        <is>
          <t>QA- JS (All Extensions) Images which behave as "show more" links are not blurred</t>
        </is>
      </c>
      <c r="D101" t="inlineStr">
        <is>
          <t>FILTER-12156</t>
        </is>
      </c>
      <c r="E101" t="inlineStr">
        <is>
          <t>Defect</t>
        </is>
      </c>
      <c r="F101" t="inlineStr">
        <is>
          <t>Ayesha Kamde</t>
        </is>
      </c>
      <c r="G101" t="inlineStr">
        <is>
          <t>Closed without action</t>
        </is>
      </c>
      <c r="H101" t="inlineStr"/>
      <c r="I101" t="inlineStr">
        <is>
          <t>P3</t>
        </is>
      </c>
      <c r="J101" s="29" t="n">
        <v>46077</v>
      </c>
      <c r="L101" s="29" t="n">
        <v>46120</v>
      </c>
      <c r="M101" t="inlineStr">
        <is>
          <t>sprint-Gonzalo</t>
        </is>
      </c>
      <c r="N101" s="11" t="n">
        <v>1</v>
      </c>
      <c r="O101" s="11" t="n">
        <v>2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QA</t>
        </is>
      </c>
      <c r="B102" s="28" t="inlineStr">
        <is>
          <t>FILTER-12230</t>
        </is>
      </c>
      <c r="C102" s="20" t="inlineStr">
        <is>
          <t>QA- JS (All Extensions): Youtube.YT logo on YT page, YT search page, YT video page and YT shorts is not clickable</t>
        </is>
      </c>
      <c r="D102" t="inlineStr">
        <is>
          <t>FILTER-12228</t>
        </is>
      </c>
      <c r="E102" t="inlineStr">
        <is>
          <t>Defect</t>
        </is>
      </c>
      <c r="F102" t="inlineStr">
        <is>
          <t>Ayesha Kamde</t>
        </is>
      </c>
      <c r="G102" t="inlineStr">
        <is>
          <t>Done</t>
        </is>
      </c>
      <c r="H102" t="inlineStr"/>
      <c r="I102" t="inlineStr">
        <is>
          <t>P1</t>
        </is>
      </c>
      <c r="J102" s="29" t="n">
        <v>46078</v>
      </c>
      <c r="L102" s="29" t="n">
        <v>46132</v>
      </c>
      <c r="M102" t="inlineStr">
        <is>
          <t>sprint-Gonzalo</t>
        </is>
      </c>
      <c r="N102" s="11" t="n">
        <v>1.5</v>
      </c>
      <c r="O102" s="11" t="n">
        <v>2</v>
      </c>
      <c r="P102" t="inlineStr">
        <is>
          <t>FILTER</t>
        </is>
      </c>
      <c r="Q102" t="inlineStr"/>
      <c r="R102" t="inlineStr"/>
      <c r="S102" t="inlineStr"/>
    </row>
    <row r="103">
      <c r="A103" t="inlineStr">
        <is>
          <t>QA</t>
        </is>
      </c>
      <c r="B103" s="28" t="inlineStr">
        <is>
          <t>FILTER-12267</t>
        </is>
      </c>
      <c r="C103" s="20" t="inlineStr">
        <is>
          <t>QA- JS (All Extensions): Securly Filter Dashboard YT videos thumbnails are blurred</t>
        </is>
      </c>
      <c r="D103" t="inlineStr">
        <is>
          <t>FILTER-12265</t>
        </is>
      </c>
      <c r="E103" t="inlineStr">
        <is>
          <t>Defect</t>
        </is>
      </c>
      <c r="F103" t="inlineStr">
        <is>
          <t>Ayesha Kamde</t>
        </is>
      </c>
      <c r="G103" t="inlineStr">
        <is>
          <t>Done</t>
        </is>
      </c>
      <c r="H103" t="inlineStr"/>
      <c r="I103" t="inlineStr">
        <is>
          <t>P2</t>
        </is>
      </c>
      <c r="J103" s="29" t="n">
        <v>46079</v>
      </c>
      <c r="L103" s="29" t="n">
        <v>46118</v>
      </c>
      <c r="M103" t="inlineStr">
        <is>
          <t>sprint-Gonzalo</t>
        </is>
      </c>
      <c r="N103" s="11" t="n">
        <v>2</v>
      </c>
      <c r="O103" s="11" t="n">
        <v>2</v>
      </c>
      <c r="P103" t="inlineStr">
        <is>
          <t>FILTER</t>
        </is>
      </c>
      <c r="Q103" t="inlineStr"/>
      <c r="R103" t="inlineStr"/>
      <c r="S103" t="inlineStr"/>
    </row>
    <row r="104">
      <c r="A104" t="inlineStr">
        <is>
          <t>QA</t>
        </is>
      </c>
      <c r="B104" s="28" t="inlineStr">
        <is>
          <t>FILTER-12274</t>
        </is>
      </c>
      <c r="C104" s="20" t="inlineStr">
        <is>
          <t>JS (All Extensions) Image Blur. Amazon.com is accessible but links/logo/dropdowns not clickable</t>
        </is>
      </c>
      <c r="D104" t="inlineStr">
        <is>
          <t>FILTER-12272</t>
        </is>
      </c>
      <c r="E104" t="inlineStr">
        <is>
          <t>Defect</t>
        </is>
      </c>
      <c r="F104" t="inlineStr">
        <is>
          <t>Ayesha Kamde</t>
        </is>
      </c>
      <c r="G104" t="inlineStr">
        <is>
          <t>Done</t>
        </is>
      </c>
      <c r="H104" t="inlineStr"/>
      <c r="I104" t="inlineStr">
        <is>
          <t>P1</t>
        </is>
      </c>
      <c r="J104" s="29" t="n">
        <v>46079</v>
      </c>
      <c r="L104" s="29" t="n">
        <v>46118</v>
      </c>
      <c r="M104" t="inlineStr">
        <is>
          <t>sprint-Gonzalo</t>
        </is>
      </c>
      <c r="N104" s="11" t="n">
        <v>2</v>
      </c>
      <c r="O104" s="11" t="n">
        <v>2</v>
      </c>
      <c r="P104" t="inlineStr">
        <is>
          <t>FILTER</t>
        </is>
      </c>
      <c r="Q104" t="inlineStr"/>
      <c r="R104" t="inlineStr"/>
      <c r="S104" t="inlineStr"/>
    </row>
    <row r="105">
      <c r="A105" t="inlineStr">
        <is>
          <t>QA</t>
        </is>
      </c>
      <c r="B105" s="28" t="inlineStr">
        <is>
          <t>FILTER-12277</t>
        </is>
      </c>
      <c r="C105" s="20" t="inlineStr">
        <is>
          <t>QA- JS (All Extensions) Image Blur. Images created by AI are not getting blurred on AI screen but if the links are accessed they are getting blurred in other tab</t>
        </is>
      </c>
      <c r="D105" t="inlineStr">
        <is>
          <t>FILTER-12275</t>
        </is>
      </c>
      <c r="E105" t="inlineStr">
        <is>
          <t>Defect</t>
        </is>
      </c>
      <c r="F105" t="inlineStr">
        <is>
          <t>Ayesha Kamde</t>
        </is>
      </c>
      <c r="G105" t="inlineStr">
        <is>
          <t>Done</t>
        </is>
      </c>
      <c r="H105" t="inlineStr"/>
      <c r="I105" t="inlineStr">
        <is>
          <t>P1</t>
        </is>
      </c>
      <c r="J105" s="29" t="n">
        <v>46079</v>
      </c>
      <c r="L105" s="29" t="n">
        <v>46120</v>
      </c>
      <c r="M105" t="inlineStr">
        <is>
          <t>sprint-Gonzalo</t>
        </is>
      </c>
      <c r="N105" s="11" t="n">
        <v>2</v>
      </c>
      <c r="O105" s="11" t="n">
        <v>2</v>
      </c>
      <c r="P105" t="inlineStr">
        <is>
          <t>FILTER</t>
        </is>
      </c>
      <c r="Q105" t="inlineStr"/>
      <c r="R105" t="inlineStr"/>
      <c r="S105" t="inlineStr"/>
    </row>
    <row r="106">
      <c r="A106" t="inlineStr">
        <is>
          <t>QA</t>
        </is>
      </c>
      <c r="B106" s="28" t="inlineStr">
        <is>
          <t>FILTER-12286</t>
        </is>
      </c>
      <c r="C106" s="20" t="inlineStr">
        <is>
          <t xml:space="preserve">QA- JS (All Extensions) image blur on GDrive. blurred images can be accessed by accessing unblurred images </t>
        </is>
      </c>
      <c r="D106" t="inlineStr">
        <is>
          <t>FILTER-12284</t>
        </is>
      </c>
      <c r="E106" t="inlineStr">
        <is>
          <t>Defect</t>
        </is>
      </c>
      <c r="F106" t="inlineStr">
        <is>
          <t>Ayesha Kamde</t>
        </is>
      </c>
      <c r="G106" t="inlineStr">
        <is>
          <t>Done</t>
        </is>
      </c>
      <c r="H106" t="inlineStr"/>
      <c r="I106" t="inlineStr">
        <is>
          <t>P1</t>
        </is>
      </c>
      <c r="J106" s="29" t="n">
        <v>46079</v>
      </c>
      <c r="L106" s="29" t="n">
        <v>46133</v>
      </c>
      <c r="M106" t="inlineStr">
        <is>
          <t>sprint-Gonzalo</t>
        </is>
      </c>
      <c r="N106" s="11" t="n">
        <v>1</v>
      </c>
      <c r="O106" s="11" t="n">
        <v>2</v>
      </c>
      <c r="P106" t="inlineStr">
        <is>
          <t>FILTER</t>
        </is>
      </c>
      <c r="Q106" t="inlineStr"/>
      <c r="R106" t="inlineStr"/>
      <c r="S106" t="inlineStr"/>
    </row>
    <row r="107">
      <c r="A107" t="inlineStr">
        <is>
          <t>QA</t>
        </is>
      </c>
      <c r="B107" s="28" t="inlineStr">
        <is>
          <t>FILTER-12288</t>
        </is>
      </c>
      <c r="C107" s="20" t="inlineStr">
        <is>
          <t>Verify all Image Blur test cases for JS</t>
        </is>
      </c>
      <c r="D107" t="inlineStr">
        <is>
          <t>FILTER-11974</t>
        </is>
      </c>
      <c r="E107" t="inlineStr">
        <is>
          <t>Story</t>
        </is>
      </c>
      <c r="F107" t="inlineStr">
        <is>
          <t>Ayesha Kamde</t>
        </is>
      </c>
      <c r="G107" t="inlineStr">
        <is>
          <t>Done</t>
        </is>
      </c>
      <c r="H107" t="inlineStr"/>
      <c r="I107" t="inlineStr">
        <is>
          <t>P3</t>
        </is>
      </c>
      <c r="J107" s="29" t="n">
        <v>46080</v>
      </c>
      <c r="L107" s="29" t="n">
        <v>46084</v>
      </c>
      <c r="M107" t="inlineStr">
        <is>
          <t>sprint-Gonzalo</t>
        </is>
      </c>
      <c r="N107" s="11" t="n">
        <v>25</v>
      </c>
      <c r="O107" s="11" t="n">
        <v>5</v>
      </c>
      <c r="P107" t="inlineStr">
        <is>
          <t>FILTER</t>
        </is>
      </c>
      <c r="Q107" t="inlineStr"/>
      <c r="R107" t="inlineStr"/>
      <c r="S107" t="inlineStr"/>
    </row>
    <row r="108">
      <c r="A108" t="inlineStr">
        <is>
          <t>QA</t>
        </is>
      </c>
      <c r="B108" s="28" t="inlineStr">
        <is>
          <t>FILTER-13107</t>
        </is>
      </c>
      <c r="C108" s="20" t="inlineStr">
        <is>
          <t xml:space="preserve">QA- Looking for solution for HTML Editor vulnerabilities </t>
        </is>
      </c>
      <c r="D108" t="inlineStr">
        <is>
          <t>FILTER-13105</t>
        </is>
      </c>
      <c r="E108" t="inlineStr">
        <is>
          <t>Escape Defect</t>
        </is>
      </c>
      <c r="F108" t="inlineStr">
        <is>
          <t>Ayesha Kamde</t>
        </is>
      </c>
      <c r="G108" t="inlineStr">
        <is>
          <t>Done</t>
        </is>
      </c>
      <c r="H108" t="inlineStr"/>
      <c r="I108" t="inlineStr">
        <is>
          <t>P1</t>
        </is>
      </c>
      <c r="J108" s="29" t="n">
        <v>46114</v>
      </c>
      <c r="L108" s="29" t="n">
        <v>46135</v>
      </c>
      <c r="M108" t="inlineStr">
        <is>
          <t>sprint-Gonzalo</t>
        </is>
      </c>
      <c r="N108" s="11" t="n">
        <v>9</v>
      </c>
      <c r="O108" s="11" t="n">
        <v>12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Dev</t>
        </is>
      </c>
      <c r="B109" s="28" t="inlineStr">
        <is>
          <t>FILTER-12242</t>
        </is>
      </c>
      <c r="C109" s="20" t="inlineStr">
        <is>
          <t>Do the required changes in order to achieve the Story's ask</t>
        </is>
      </c>
      <c r="D109" t="inlineStr">
        <is>
          <t>FILTER-12241</t>
        </is>
      </c>
      <c r="E109" t="inlineStr">
        <is>
          <t>Story</t>
        </is>
      </c>
      <c r="F109" t="inlineStr">
        <is>
          <t>Harsh Verma</t>
        </is>
      </c>
      <c r="G109" t="inlineStr">
        <is>
          <t>Done</t>
        </is>
      </c>
      <c r="H109" t="inlineStr"/>
      <c r="I109" t="inlineStr">
        <is>
          <t>P3</t>
        </is>
      </c>
      <c r="J109" s="29" t="n">
        <v>46079</v>
      </c>
      <c r="L109" s="29" t="n">
        <v>46128</v>
      </c>
      <c r="M109" t="inlineStr">
        <is>
          <t>sprint-Gonzalo</t>
        </is>
      </c>
      <c r="N109" s="11" t="n">
        <v>36</v>
      </c>
      <c r="O109" s="11" t="n">
        <v>32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Story</t>
        </is>
      </c>
      <c r="B110" s="28" t="inlineStr">
        <is>
          <t>FILTER-12293</t>
        </is>
      </c>
      <c r="C110" s="20" t="inlineStr">
        <is>
          <t>[Filter] Translations for Spanish &amp; French - Json Creation &amp; Verify</t>
        </is>
      </c>
      <c r="D110" t="inlineStr">
        <is>
          <t>FILTER-12099</t>
        </is>
      </c>
      <c r="E110" t="inlineStr">
        <is>
          <t>Epic</t>
        </is>
      </c>
      <c r="F110" t="inlineStr">
        <is>
          <t>Harshada Kude</t>
        </is>
      </c>
      <c r="G110" t="inlineStr">
        <is>
          <t>RELEASED TO PROD</t>
        </is>
      </c>
      <c r="H110" t="inlineStr"/>
      <c r="I110" t="inlineStr">
        <is>
          <t>P3</t>
        </is>
      </c>
      <c r="J110" s="29" t="n">
        <v>46080</v>
      </c>
      <c r="L110" s="29" t="n">
        <v>46139</v>
      </c>
      <c r="M110" t="inlineStr">
        <is>
          <t>sprint-Gonzalo</t>
        </is>
      </c>
      <c r="N110" s="11" t="n">
        <v>24</v>
      </c>
      <c r="O110" s="11" t="n">
        <v>0</v>
      </c>
      <c r="P110" t="inlineStr">
        <is>
          <t>FILTER</t>
        </is>
      </c>
      <c r="Q110" t="inlineStr">
        <is>
          <t>unplanned-sprint</t>
        </is>
      </c>
      <c r="R110" t="inlineStr"/>
      <c r="S110" t="inlineStr"/>
    </row>
    <row r="111">
      <c r="A111" t="inlineStr">
        <is>
          <t>Dev</t>
        </is>
      </c>
      <c r="B111" s="28" t="inlineStr">
        <is>
          <t>FILTER-12294</t>
        </is>
      </c>
      <c r="C111" s="20" t="inlineStr">
        <is>
          <t>Translations for Spanish &amp; French - Json Creation &amp; Verify</t>
        </is>
      </c>
      <c r="D111" t="inlineStr">
        <is>
          <t>FILTER-12293</t>
        </is>
      </c>
      <c r="E111" t="inlineStr">
        <is>
          <t>Story</t>
        </is>
      </c>
      <c r="F111" t="inlineStr">
        <is>
          <t>Harshada Kude</t>
        </is>
      </c>
      <c r="G111" t="inlineStr">
        <is>
          <t>Done</t>
        </is>
      </c>
      <c r="H111" t="inlineStr"/>
      <c r="I111" t="inlineStr">
        <is>
          <t>P3</t>
        </is>
      </c>
      <c r="J111" s="29" t="n">
        <v>46080</v>
      </c>
      <c r="L111" s="29" t="n">
        <v>46118</v>
      </c>
      <c r="M111" t="inlineStr">
        <is>
          <t>sprint-Gonzalo</t>
        </is>
      </c>
      <c r="N111" s="11" t="n">
        <v>18</v>
      </c>
      <c r="O111" s="11" t="n">
        <v>16</v>
      </c>
      <c r="P111" t="inlineStr">
        <is>
          <t>FILTER</t>
        </is>
      </c>
      <c r="Q111" t="inlineStr"/>
      <c r="R111" t="inlineStr"/>
      <c r="S111" t="inlineStr"/>
    </row>
    <row r="112">
      <c r="A112" t="inlineStr">
        <is>
          <t>Story</t>
        </is>
      </c>
      <c r="B112" s="28" t="inlineStr">
        <is>
          <t>FILTER-12305</t>
        </is>
      </c>
      <c r="C112" s="20" t="inlineStr">
        <is>
          <t>[Filter] Consumption of json Translations in Settings</t>
        </is>
      </c>
      <c r="D112" t="inlineStr">
        <is>
          <t>FILTER-12099</t>
        </is>
      </c>
      <c r="E112" t="inlineStr">
        <is>
          <t>Epic</t>
        </is>
      </c>
      <c r="F112" t="inlineStr">
        <is>
          <t>Harshada Kude</t>
        </is>
      </c>
      <c r="G112" t="inlineStr">
        <is>
          <t>RELEASED TO PROD</t>
        </is>
      </c>
      <c r="H112" t="inlineStr"/>
      <c r="I112" t="inlineStr">
        <is>
          <t>P3</t>
        </is>
      </c>
      <c r="J112" s="29" t="n">
        <v>46083</v>
      </c>
      <c r="L112" s="29" t="n">
        <v>46139</v>
      </c>
      <c r="M112" t="inlineStr">
        <is>
          <t>sprint-Gonzalo</t>
        </is>
      </c>
      <c r="N112" s="11" t="n">
        <v>10.5</v>
      </c>
      <c r="O112" s="11" t="n">
        <v>0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Dev</t>
        </is>
      </c>
      <c r="B113" s="28" t="inlineStr">
        <is>
          <t>FILTER-12306</t>
        </is>
      </c>
      <c r="C113" s="20" t="inlineStr">
        <is>
          <t>[Filter] Creation &amp; Consumption of json Translations in Settings</t>
        </is>
      </c>
      <c r="D113" t="inlineStr">
        <is>
          <t>FILTER-12305</t>
        </is>
      </c>
      <c r="E113" t="inlineStr">
        <is>
          <t>Story</t>
        </is>
      </c>
      <c r="F113" t="inlineStr">
        <is>
          <t>Harshada Kude</t>
        </is>
      </c>
      <c r="G113" t="inlineStr">
        <is>
          <t>Done</t>
        </is>
      </c>
      <c r="H113" t="inlineStr"/>
      <c r="I113" t="inlineStr">
        <is>
          <t>P3</t>
        </is>
      </c>
      <c r="J113" s="29" t="n">
        <v>46083</v>
      </c>
      <c r="L113" s="29" t="n">
        <v>46118</v>
      </c>
      <c r="M113" t="inlineStr">
        <is>
          <t>sprint-Gonzalo</t>
        </is>
      </c>
      <c r="N113" s="11" t="n">
        <v>10</v>
      </c>
      <c r="O113" s="11" t="n">
        <v>8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Dev</t>
        </is>
      </c>
      <c r="B114" s="28" t="inlineStr">
        <is>
          <t>FILTER-12308</t>
        </is>
      </c>
      <c r="C114" s="20" t="inlineStr">
        <is>
          <t>[Filter] Creation &amp; Consumption of json Translations in Remaining portion of Policy Map</t>
        </is>
      </c>
      <c r="D114" t="inlineStr">
        <is>
          <t>FILTER-12307</t>
        </is>
      </c>
      <c r="E114" t="inlineStr">
        <is>
          <t>Story</t>
        </is>
      </c>
      <c r="F114" t="inlineStr">
        <is>
          <t>Harshada Kude</t>
        </is>
      </c>
      <c r="G114" t="inlineStr">
        <is>
          <t>Done</t>
        </is>
      </c>
      <c r="H114" t="inlineStr"/>
      <c r="I114" t="inlineStr">
        <is>
          <t>P3</t>
        </is>
      </c>
      <c r="J114" s="29" t="n">
        <v>46083</v>
      </c>
      <c r="L114" s="29" t="n">
        <v>46118</v>
      </c>
      <c r="M114" t="inlineStr">
        <is>
          <t>sprint-Gonzalo</t>
        </is>
      </c>
      <c r="N114" s="11" t="n">
        <v>12</v>
      </c>
      <c r="O114" s="11" t="n">
        <v>10</v>
      </c>
      <c r="P114" t="inlineStr">
        <is>
          <t>FILTER</t>
        </is>
      </c>
      <c r="Q114" t="inlineStr"/>
      <c r="R114" t="inlineStr"/>
      <c r="S114" t="inlineStr"/>
    </row>
    <row r="115">
      <c r="A115" t="inlineStr">
        <is>
          <t>Dev</t>
        </is>
      </c>
      <c r="B115" s="28" t="inlineStr">
        <is>
          <t>FILTER-12310</t>
        </is>
      </c>
      <c r="C115" s="20" t="inlineStr">
        <is>
          <t>[Filter] Cross check Filter Application Other Remaining instances of | translate or instant - Part 2</t>
        </is>
      </c>
      <c r="D115" t="inlineStr">
        <is>
          <t>FILTER-12311</t>
        </is>
      </c>
      <c r="E115" t="inlineStr">
        <is>
          <t>Story</t>
        </is>
      </c>
      <c r="F115" t="inlineStr">
        <is>
          <t>Harshada Kude</t>
        </is>
      </c>
      <c r="G115" t="inlineStr">
        <is>
          <t>Done</t>
        </is>
      </c>
      <c r="H115" t="inlineStr"/>
      <c r="I115" t="inlineStr">
        <is>
          <t>P3</t>
        </is>
      </c>
      <c r="J115" s="29" t="n">
        <v>46083</v>
      </c>
      <c r="L115" s="29" t="n">
        <v>46118</v>
      </c>
      <c r="M115" t="inlineStr">
        <is>
          <t>sprint-Gonzalo</t>
        </is>
      </c>
      <c r="N115" s="11" t="n">
        <v>12</v>
      </c>
      <c r="O115" s="11" t="n">
        <v>10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Story</t>
        </is>
      </c>
      <c r="B116" s="28" t="inlineStr">
        <is>
          <t>FILTER-12311</t>
        </is>
      </c>
      <c r="C116" s="20" t="inlineStr">
        <is>
          <t>[Filter] Cross check Filter Application Other Remaining instances of | translate or instant</t>
        </is>
      </c>
      <c r="D116" t="inlineStr">
        <is>
          <t>FILTER-12099</t>
        </is>
      </c>
      <c r="E116" t="inlineStr">
        <is>
          <t>Epic</t>
        </is>
      </c>
      <c r="F116" t="inlineStr">
        <is>
          <t>Harshada Kude</t>
        </is>
      </c>
      <c r="G116" t="inlineStr">
        <is>
          <t>RELEASED TO PROD</t>
        </is>
      </c>
      <c r="H116" t="inlineStr"/>
      <c r="I116" t="inlineStr">
        <is>
          <t>P3</t>
        </is>
      </c>
      <c r="J116" s="29" t="n">
        <v>46083</v>
      </c>
      <c r="L116" s="29" t="n">
        <v>46139</v>
      </c>
      <c r="M116" t="inlineStr">
        <is>
          <t>sprint-Gonzalo</t>
        </is>
      </c>
      <c r="N116" s="11" t="n">
        <v>18.5</v>
      </c>
      <c r="O116" s="11" t="n">
        <v>0</v>
      </c>
      <c r="P116" t="inlineStr">
        <is>
          <t>FILTER</t>
        </is>
      </c>
      <c r="Q116" t="inlineStr"/>
      <c r="R116" t="inlineStr"/>
      <c r="S116" t="inlineStr"/>
    </row>
    <row r="117">
      <c r="A117" t="inlineStr">
        <is>
          <t>Dev</t>
        </is>
      </c>
      <c r="B117" s="28" t="inlineStr">
        <is>
          <t>FILTER-12312</t>
        </is>
      </c>
      <c r="C117" s="20" t="inlineStr">
        <is>
          <t>[Filter] Cross check Filter Application Other Remaining instances of | translate or instant</t>
        </is>
      </c>
      <c r="D117" t="inlineStr">
        <is>
          <t>FILTER-12311</t>
        </is>
      </c>
      <c r="E117" t="inlineStr">
        <is>
          <t>Story</t>
        </is>
      </c>
      <c r="F117" t="inlineStr">
        <is>
          <t>Harshada Kude</t>
        </is>
      </c>
      <c r="G117" t="inlineStr">
        <is>
          <t>Done</t>
        </is>
      </c>
      <c r="H117" t="inlineStr"/>
      <c r="I117" t="inlineStr">
        <is>
          <t>P3</t>
        </is>
      </c>
      <c r="J117" s="29" t="n">
        <v>46083</v>
      </c>
      <c r="L117" s="29" t="n">
        <v>46118</v>
      </c>
      <c r="M117" t="inlineStr">
        <is>
          <t>sprint-Gonzalo</t>
        </is>
      </c>
      <c r="N117" s="11" t="n">
        <v>6</v>
      </c>
      <c r="O117" s="11" t="n">
        <v>6</v>
      </c>
      <c r="P117" t="inlineStr">
        <is>
          <t>FILTER</t>
        </is>
      </c>
      <c r="Q117" t="inlineStr"/>
      <c r="R117" t="inlineStr"/>
      <c r="S117" t="inlineStr"/>
    </row>
    <row r="118">
      <c r="A118" t="inlineStr">
        <is>
          <t>Story</t>
        </is>
      </c>
      <c r="B118" s="28" t="inlineStr">
        <is>
          <t>FILTER-12474</t>
        </is>
      </c>
      <c r="C118" s="20" t="inlineStr">
        <is>
          <t xml:space="preserve">[Filter] Accessibility Fix - 3.1.2 </t>
        </is>
      </c>
      <c r="D118" t="inlineStr">
        <is>
          <t>FILTER-12099</t>
        </is>
      </c>
      <c r="E118" t="inlineStr">
        <is>
          <t>Epic</t>
        </is>
      </c>
      <c r="F118" t="inlineStr">
        <is>
          <t>Harshada Kude</t>
        </is>
      </c>
      <c r="G118" t="inlineStr">
        <is>
          <t>RELEASED TO PROD</t>
        </is>
      </c>
      <c r="H118" t="inlineStr"/>
      <c r="I118" t="inlineStr">
        <is>
          <t>P3</t>
        </is>
      </c>
      <c r="J118" s="29" t="n">
        <v>46094</v>
      </c>
      <c r="L118" s="29" t="n">
        <v>46139</v>
      </c>
      <c r="M118" t="inlineStr">
        <is>
          <t>sprint-Gonzalo</t>
        </is>
      </c>
      <c r="N118" s="11" t="n">
        <v>0</v>
      </c>
      <c r="O118" s="11" t="n">
        <v>0</v>
      </c>
      <c r="P118" t="inlineStr">
        <is>
          <t>FILTER</t>
        </is>
      </c>
      <c r="Q118" t="inlineStr">
        <is>
          <t>unplanned-sprint</t>
        </is>
      </c>
      <c r="R118" t="inlineStr"/>
      <c r="S118" t="inlineStr"/>
    </row>
    <row r="119">
      <c r="A119" t="inlineStr">
        <is>
          <t>Dev</t>
        </is>
      </c>
      <c r="B119" s="28" t="inlineStr">
        <is>
          <t>FILTER-12658</t>
        </is>
      </c>
      <c r="C119" s="20" t="inlineStr">
        <is>
          <t xml:space="preserve">DEV - Policy Map does not display OU names when searching or filtering </t>
        </is>
      </c>
      <c r="D119" t="inlineStr">
        <is>
          <t>FILTER-12657</t>
        </is>
      </c>
      <c r="E119" t="inlineStr">
        <is>
          <t>Escape Defect</t>
        </is>
      </c>
      <c r="F119" t="inlineStr">
        <is>
          <t>Harshada Kude</t>
        </is>
      </c>
      <c r="G119" t="inlineStr">
        <is>
          <t>Done</t>
        </is>
      </c>
      <c r="H119" t="inlineStr"/>
      <c r="I119" t="inlineStr">
        <is>
          <t>P0</t>
        </is>
      </c>
      <c r="J119" s="29" t="n">
        <v>46105</v>
      </c>
      <c r="L119" s="29" t="n">
        <v>46122</v>
      </c>
      <c r="M119" t="inlineStr">
        <is>
          <t>sprint-Gonzalo</t>
        </is>
      </c>
      <c r="N119" s="11" t="n">
        <v>6</v>
      </c>
      <c r="O119" s="11" t="n">
        <v>6</v>
      </c>
      <c r="P119" t="inlineStr">
        <is>
          <t>FILTER</t>
        </is>
      </c>
      <c r="Q119" t="inlineStr"/>
      <c r="R119" t="inlineStr"/>
      <c r="S119" t="inlineStr"/>
    </row>
    <row r="120">
      <c r="A120" t="inlineStr">
        <is>
          <t>Dev</t>
        </is>
      </c>
      <c r="B120" s="28" t="inlineStr">
        <is>
          <t>FILTER-12781</t>
        </is>
      </c>
      <c r="C120" s="20" t="inlineStr">
        <is>
          <t>DEV - Safety Console. Image blur. Confirmation popup does not have text in it and is not functional</t>
        </is>
      </c>
      <c r="D120" t="inlineStr">
        <is>
          <t>FILTER-12780</t>
        </is>
      </c>
      <c r="E120" t="inlineStr">
        <is>
          <t>Defect</t>
        </is>
      </c>
      <c r="F120" t="inlineStr">
        <is>
          <t>Harshada Kude</t>
        </is>
      </c>
      <c r="G120" t="inlineStr">
        <is>
          <t>Done</t>
        </is>
      </c>
      <c r="H120" t="inlineStr"/>
      <c r="I120" t="inlineStr">
        <is>
          <t>P3</t>
        </is>
      </c>
      <c r="J120" s="29" t="n">
        <v>46108</v>
      </c>
      <c r="L120" s="29" t="n">
        <v>46119</v>
      </c>
      <c r="M120" t="inlineStr">
        <is>
          <t>sprint-Gonzalo</t>
        </is>
      </c>
      <c r="N120" s="11" t="n">
        <v>2</v>
      </c>
      <c r="O120" s="11" t="n">
        <v>2</v>
      </c>
      <c r="P120" t="inlineStr">
        <is>
          <t>FILTER</t>
        </is>
      </c>
      <c r="Q120" t="inlineStr"/>
      <c r="R120" t="inlineStr"/>
      <c r="S120" t="inlineStr"/>
    </row>
    <row r="121">
      <c r="A121" t="inlineStr">
        <is>
          <t>Dev</t>
        </is>
      </c>
      <c r="B121" s="28" t="inlineStr">
        <is>
          <t>FILTER-12789</t>
        </is>
      </c>
      <c r="C121" s="20" t="inlineStr">
        <is>
          <t>DEV - Safety Console. Allow/Block Search terms. Even terms added as contains are getting added as Exact</t>
        </is>
      </c>
      <c r="D121" t="inlineStr">
        <is>
          <t>FILTER-12788</t>
        </is>
      </c>
      <c r="E121" t="inlineStr">
        <is>
          <t>Defect</t>
        </is>
      </c>
      <c r="F121" t="inlineStr">
        <is>
          <t>Harshada Kude</t>
        </is>
      </c>
      <c r="G121" t="inlineStr">
        <is>
          <t>Done</t>
        </is>
      </c>
      <c r="H121" t="inlineStr"/>
      <c r="I121" t="inlineStr">
        <is>
          <t>P1</t>
        </is>
      </c>
      <c r="J121" s="29" t="n">
        <v>46108</v>
      </c>
      <c r="L121" s="29" t="n">
        <v>46119</v>
      </c>
      <c r="M121" t="inlineStr">
        <is>
          <t>sprint-Gonzalo</t>
        </is>
      </c>
      <c r="N121" s="11" t="n">
        <v>3.5</v>
      </c>
      <c r="O121" s="11" t="n">
        <v>2</v>
      </c>
      <c r="P121" t="inlineStr">
        <is>
          <t>FILTER</t>
        </is>
      </c>
      <c r="Q121" t="inlineStr"/>
      <c r="R121" t="inlineStr"/>
      <c r="S121" t="inlineStr"/>
    </row>
    <row r="122">
      <c r="A122" t="inlineStr">
        <is>
          <t>Dev</t>
        </is>
      </c>
      <c r="B122" s="28" t="inlineStr">
        <is>
          <t>FILTER-12913</t>
        </is>
      </c>
      <c r="C122" s="20" t="inlineStr">
        <is>
          <t>DEV - Safety Console &gt;&gt; Allow/Block URL. Weird wildcards are not showing ! mark</t>
        </is>
      </c>
      <c r="D122" t="inlineStr">
        <is>
          <t>FILTER-12912</t>
        </is>
      </c>
      <c r="E122" t="inlineStr">
        <is>
          <t>Defect</t>
        </is>
      </c>
      <c r="F122" t="inlineStr">
        <is>
          <t>Harshada Kude</t>
        </is>
      </c>
      <c r="G122" t="inlineStr">
        <is>
          <t>Closed without action</t>
        </is>
      </c>
      <c r="H122" t="inlineStr"/>
      <c r="I122" t="inlineStr">
        <is>
          <t>P1</t>
        </is>
      </c>
      <c r="J122" s="29" t="n">
        <v>46108</v>
      </c>
      <c r="L122" s="29" t="n">
        <v>46126</v>
      </c>
      <c r="M122" t="inlineStr">
        <is>
          <t>sprint-Gonzalo</t>
        </is>
      </c>
      <c r="N122" s="11" t="n">
        <v>0</v>
      </c>
      <c r="O122" s="11" t="n">
        <v>0</v>
      </c>
      <c r="P122" t="inlineStr">
        <is>
          <t>FILTER</t>
        </is>
      </c>
      <c r="Q122" t="inlineStr"/>
      <c r="R122" t="inlineStr"/>
      <c r="S122" t="inlineStr"/>
    </row>
    <row r="123">
      <c r="A123" t="inlineStr">
        <is>
          <t>Dev</t>
        </is>
      </c>
      <c r="B123" s="28" t="inlineStr">
        <is>
          <t>FILTER-12974</t>
        </is>
      </c>
      <c r="C123" s="20" t="inlineStr">
        <is>
          <t>DEV - Safety Console &gt;&gt; Activities. More more info Popup does not have Search, Site, Public IP, Block and Allow buttons translated</t>
        </is>
      </c>
      <c r="D123" t="inlineStr">
        <is>
          <t>FILTER-12973</t>
        </is>
      </c>
      <c r="E123" t="inlineStr">
        <is>
          <t>Escape Defect</t>
        </is>
      </c>
      <c r="F123" t="inlineStr">
        <is>
          <t>Harshada Kude</t>
        </is>
      </c>
      <c r="G123" t="inlineStr">
        <is>
          <t>Done</t>
        </is>
      </c>
      <c r="H123" t="inlineStr"/>
      <c r="I123" t="inlineStr">
        <is>
          <t>P2</t>
        </is>
      </c>
      <c r="J123" s="29" t="n">
        <v>46111</v>
      </c>
      <c r="L123" s="29" t="n">
        <v>46119</v>
      </c>
      <c r="M123" t="inlineStr">
        <is>
          <t>sprint-Gonzalo</t>
        </is>
      </c>
      <c r="N123" s="11" t="n">
        <v>1</v>
      </c>
      <c r="O123" s="11" t="n">
        <v>1</v>
      </c>
      <c r="P123" t="inlineStr">
        <is>
          <t>FILTER</t>
        </is>
      </c>
      <c r="Q123" t="inlineStr"/>
      <c r="R123" t="inlineStr"/>
      <c r="S123" t="inlineStr"/>
    </row>
    <row r="124">
      <c r="A124" t="inlineStr">
        <is>
          <t>Dev</t>
        </is>
      </c>
      <c r="B124" s="28" t="inlineStr">
        <is>
          <t>FILTER-13374</t>
        </is>
      </c>
      <c r="C124" s="20" t="inlineStr">
        <is>
          <t>DEV - Safety Console &gt;&gt; Policy Editor. Delete policy popup has translation key instead of message.</t>
        </is>
      </c>
      <c r="D124" t="inlineStr">
        <is>
          <t>FILTER-13373</t>
        </is>
      </c>
      <c r="E124" t="inlineStr">
        <is>
          <t>Defect</t>
        </is>
      </c>
      <c r="F124" t="inlineStr">
        <is>
          <t>Harshada Kude</t>
        </is>
      </c>
      <c r="G124" t="inlineStr">
        <is>
          <t>Done</t>
        </is>
      </c>
      <c r="H124" t="inlineStr"/>
      <c r="I124" t="inlineStr">
        <is>
          <t>P1</t>
        </is>
      </c>
      <c r="J124" s="29" t="n">
        <v>46121</v>
      </c>
      <c r="L124" s="29" t="n">
        <v>46126</v>
      </c>
      <c r="M124" t="inlineStr">
        <is>
          <t>sprint-Gonzalo</t>
        </is>
      </c>
      <c r="N124" s="11" t="n">
        <v>1</v>
      </c>
      <c r="O124" s="11" t="n">
        <v>1</v>
      </c>
      <c r="P124" t="inlineStr">
        <is>
          <t>FILTER</t>
        </is>
      </c>
      <c r="Q124" t="inlineStr"/>
      <c r="R124" t="inlineStr"/>
      <c r="S124" t="inlineStr"/>
    </row>
    <row r="125">
      <c r="A125" t="inlineStr">
        <is>
          <t>Dev</t>
        </is>
      </c>
      <c r="B125" s="28" t="inlineStr">
        <is>
          <t>FILTER-13382</t>
        </is>
      </c>
      <c r="C125" s="20" t="inlineStr">
        <is>
          <t>DEV - Safety Console &gt;&gt; Policy Map &gt;&gt; Custom Group. Delete CG popup has translation key instead of message.</t>
        </is>
      </c>
      <c r="D125" t="inlineStr">
        <is>
          <t>FILTER-13381</t>
        </is>
      </c>
      <c r="E125" t="inlineStr">
        <is>
          <t>Defect</t>
        </is>
      </c>
      <c r="F125" t="inlineStr">
        <is>
          <t>Harshada Kude</t>
        </is>
      </c>
      <c r="G125" t="inlineStr">
        <is>
          <t>Done</t>
        </is>
      </c>
      <c r="H125" t="inlineStr"/>
      <c r="I125" t="inlineStr">
        <is>
          <t>P1</t>
        </is>
      </c>
      <c r="J125" s="29" t="n">
        <v>46121</v>
      </c>
      <c r="L125" s="29" t="n">
        <v>46126</v>
      </c>
      <c r="M125" t="inlineStr">
        <is>
          <t>sprint-Gonzalo</t>
        </is>
      </c>
      <c r="N125" s="11" t="n">
        <v>1</v>
      </c>
      <c r="O125" s="11" t="n">
        <v>1</v>
      </c>
      <c r="P125" t="inlineStr">
        <is>
          <t>FILTER</t>
        </is>
      </c>
      <c r="Q125" t="inlineStr"/>
      <c r="R125" t="inlineStr"/>
      <c r="S125" t="inlineStr"/>
    </row>
    <row r="126">
      <c r="A126" t="inlineStr">
        <is>
          <t>Dev</t>
        </is>
      </c>
      <c r="B126" s="28" t="inlineStr">
        <is>
          <t>FILTER-13471</t>
        </is>
      </c>
      <c r="C126" s="20" t="inlineStr">
        <is>
          <t>DEV - Safety Console &gt;&gt; Filter. Custom Groups page is blank for Dual Provision FID.</t>
        </is>
      </c>
      <c r="D126" t="inlineStr">
        <is>
          <t>FILTER-13470</t>
        </is>
      </c>
      <c r="E126" t="inlineStr">
        <is>
          <t>Escape Defect</t>
        </is>
      </c>
      <c r="F126" t="inlineStr">
        <is>
          <t>Harshada Kude</t>
        </is>
      </c>
      <c r="G126" t="inlineStr">
        <is>
          <t>Done</t>
        </is>
      </c>
      <c r="H126" t="inlineStr"/>
      <c r="I126" t="inlineStr">
        <is>
          <t>P0</t>
        </is>
      </c>
      <c r="J126" s="29" t="n">
        <v>46123</v>
      </c>
      <c r="L126" s="29" t="n">
        <v>46125</v>
      </c>
      <c r="M126" t="inlineStr">
        <is>
          <t>sprint-Gonzalo</t>
        </is>
      </c>
      <c r="N126" s="11" t="n">
        <v>4</v>
      </c>
      <c r="O126" s="11" t="n">
        <v>4</v>
      </c>
      <c r="P126" t="inlineStr">
        <is>
          <t>FILTER</t>
        </is>
      </c>
      <c r="Q126" t="inlineStr"/>
      <c r="R126" t="inlineStr"/>
      <c r="S126" t="inlineStr"/>
    </row>
    <row r="127">
      <c r="A127" t="inlineStr">
        <is>
          <t>Dev</t>
        </is>
      </c>
      <c r="B127" s="28" t="inlineStr">
        <is>
          <t>FILTER-13495</t>
        </is>
      </c>
      <c r="C127" s="20" t="inlineStr">
        <is>
          <t>DEV - Custom groups are not displayed</t>
        </is>
      </c>
      <c r="D127" t="inlineStr">
        <is>
          <t>FILTER-13494</t>
        </is>
      </c>
      <c r="E127" t="inlineStr">
        <is>
          <t>Escape Defect</t>
        </is>
      </c>
      <c r="F127" t="inlineStr">
        <is>
          <t>Harshada Kude</t>
        </is>
      </c>
      <c r="G127" t="inlineStr">
        <is>
          <t>Done</t>
        </is>
      </c>
      <c r="H127" t="inlineStr"/>
      <c r="I127" t="inlineStr">
        <is>
          <t>P2</t>
        </is>
      </c>
      <c r="J127" s="29" t="n">
        <v>46124</v>
      </c>
      <c r="L127" s="29" t="n">
        <v>46125</v>
      </c>
      <c r="M127" t="inlineStr">
        <is>
          <t>sprint-Gonzalo</t>
        </is>
      </c>
      <c r="N127" s="11" t="n">
        <v>0</v>
      </c>
      <c r="O127" s="11" t="n">
        <v>0.5</v>
      </c>
      <c r="P127" t="inlineStr">
        <is>
          <t>FILTER</t>
        </is>
      </c>
      <c r="Q127" t="inlineStr"/>
      <c r="R127" t="inlineStr"/>
      <c r="S127" t="inlineStr"/>
    </row>
    <row r="128">
      <c r="A128" t="inlineStr">
        <is>
          <t>Dev</t>
        </is>
      </c>
      <c r="B128" s="28" t="inlineStr">
        <is>
          <t>FILTER-11659</t>
        </is>
      </c>
      <c r="C128" s="20" t="inlineStr">
        <is>
          <t>Phase 3 - Implement FluentD Changes for Tokenization (UserToken)</t>
        </is>
      </c>
      <c r="D128" t="inlineStr">
        <is>
          <t>FILTER-11631</t>
        </is>
      </c>
      <c r="E128" t="inlineStr">
        <is>
          <t>Story</t>
        </is>
      </c>
      <c r="F128" t="inlineStr">
        <is>
          <t>Prateek Fotedar</t>
        </is>
      </c>
      <c r="G128" t="inlineStr">
        <is>
          <t>Done</t>
        </is>
      </c>
      <c r="H128" t="inlineStr"/>
      <c r="I128" t="inlineStr">
        <is>
          <t>P3</t>
        </is>
      </c>
      <c r="J128" s="29" t="n">
        <v>46037</v>
      </c>
      <c r="L128" s="29" t="n">
        <v>46126</v>
      </c>
      <c r="M128" t="inlineStr">
        <is>
          <t>sprint-Gonzalo</t>
        </is>
      </c>
      <c r="N128" s="11" t="n">
        <v>12</v>
      </c>
      <c r="O128" s="11" t="n">
        <v>12</v>
      </c>
      <c r="P128" t="inlineStr">
        <is>
          <t>FILTER</t>
        </is>
      </c>
      <c r="Q128" t="inlineStr">
        <is>
          <t>Capitalized-Feature</t>
        </is>
      </c>
      <c r="R128" t="inlineStr"/>
      <c r="S128" t="inlineStr"/>
    </row>
    <row r="129">
      <c r="A129" t="inlineStr">
        <is>
          <t>Dev</t>
        </is>
      </c>
      <c r="B129" s="28" t="inlineStr">
        <is>
          <t>FILTER-12301</t>
        </is>
      </c>
      <c r="C129" s="20" t="inlineStr">
        <is>
          <t>POST /api/custom-list allows Admin to create custom list with usage "GLOBAL" - should be rejected</t>
        </is>
      </c>
      <c r="D129" t="inlineStr">
        <is>
          <t>FILTER-11776</t>
        </is>
      </c>
      <c r="E129" t="inlineStr">
        <is>
          <t>Defect</t>
        </is>
      </c>
      <c r="F129" t="inlineStr">
        <is>
          <t>Prateek Fotedar</t>
        </is>
      </c>
      <c r="G129" t="inlineStr">
        <is>
          <t>Closed without action</t>
        </is>
      </c>
      <c r="H129" t="inlineStr"/>
      <c r="I129" t="inlineStr">
        <is>
          <t>P3</t>
        </is>
      </c>
      <c r="J129" s="29" t="n">
        <v>46082</v>
      </c>
      <c r="L129" s="29" t="n">
        <v>46136</v>
      </c>
      <c r="M129" t="inlineStr">
        <is>
          <t>sprint-Gonzalo</t>
        </is>
      </c>
      <c r="N129" s="11" t="n">
        <v>0.5</v>
      </c>
      <c r="O129" s="11" t="n">
        <v>6</v>
      </c>
      <c r="P129" t="inlineStr">
        <is>
          <t>FILTER</t>
        </is>
      </c>
      <c r="Q129" t="inlineStr">
        <is>
          <t>Capitalized-Feature</t>
        </is>
      </c>
      <c r="R129" t="inlineStr"/>
      <c r="S129" t="inlineStr"/>
    </row>
    <row r="130">
      <c r="A130" t="inlineStr">
        <is>
          <t>Dev</t>
        </is>
      </c>
      <c r="B130" s="28" t="inlineStr">
        <is>
          <t>FILTER-12865</t>
        </is>
      </c>
      <c r="C130" s="20" t="inlineStr">
        <is>
          <t>DEV - Support Tool &gt;&gt; Custom list UI. Custom List table &gt;&gt; "Last updated by" field is not showing value for every list</t>
        </is>
      </c>
      <c r="D130" t="inlineStr">
        <is>
          <t>FILTER-12864</t>
        </is>
      </c>
      <c r="E130" t="inlineStr">
        <is>
          <t>Defect</t>
        </is>
      </c>
      <c r="F130" t="inlineStr">
        <is>
          <t>Prateek Fotedar</t>
        </is>
      </c>
      <c r="G130" t="inlineStr">
        <is>
          <t>Closed without action</t>
        </is>
      </c>
      <c r="H130" t="inlineStr"/>
      <c r="I130" t="inlineStr">
        <is>
          <t>P2</t>
        </is>
      </c>
      <c r="J130" s="29" t="n">
        <v>46108</v>
      </c>
      <c r="L130" s="29" t="n">
        <v>46126</v>
      </c>
      <c r="M130" t="inlineStr">
        <is>
          <t>sprint-Gonzalo</t>
        </is>
      </c>
      <c r="N130" s="11" t="n">
        <v>1</v>
      </c>
      <c r="O130" s="11" t="n">
        <v>1</v>
      </c>
      <c r="P130" t="inlineStr">
        <is>
          <t>FILTER</t>
        </is>
      </c>
      <c r="Q130" t="inlineStr"/>
      <c r="R130" t="inlineStr"/>
      <c r="S130" t="inlineStr"/>
    </row>
    <row r="131">
      <c r="A131" t="inlineStr">
        <is>
          <t>Dev</t>
        </is>
      </c>
      <c r="B131" s="28" t="inlineStr">
        <is>
          <t>FILTER-12869</t>
        </is>
      </c>
      <c r="C131" s="20" t="inlineStr">
        <is>
          <t>DEV - Support Tool &gt;&gt; Custom list UI. Custom List table &gt;&gt; we are able to see global lists which are created by non support tool users as well</t>
        </is>
      </c>
      <c r="D131" t="inlineStr">
        <is>
          <t>FILTER-12868</t>
        </is>
      </c>
      <c r="E131" t="inlineStr">
        <is>
          <t>Defect</t>
        </is>
      </c>
      <c r="F131" t="inlineStr">
        <is>
          <t>Prateek Fotedar</t>
        </is>
      </c>
      <c r="G131" t="inlineStr">
        <is>
          <t>Closed without action</t>
        </is>
      </c>
      <c r="H131" t="inlineStr"/>
      <c r="I131" t="inlineStr">
        <is>
          <t>P1</t>
        </is>
      </c>
      <c r="J131" s="29" t="n">
        <v>46108</v>
      </c>
      <c r="L131" s="29" t="n">
        <v>46126</v>
      </c>
      <c r="M131" t="inlineStr">
        <is>
          <t>sprint-Gonzalo</t>
        </is>
      </c>
      <c r="N131" s="11" t="n">
        <v>1.5</v>
      </c>
      <c r="O131" s="11" t="n">
        <v>1.5</v>
      </c>
      <c r="P131" t="inlineStr">
        <is>
          <t>FILTER</t>
        </is>
      </c>
      <c r="Q131" t="inlineStr"/>
      <c r="R131" t="inlineStr"/>
      <c r="S131" t="inlineStr"/>
    </row>
    <row r="132">
      <c r="A132" t="inlineStr">
        <is>
          <t>Dev</t>
        </is>
      </c>
      <c r="B132" s="28" t="inlineStr">
        <is>
          <t>FILTER-12893</t>
        </is>
      </c>
      <c r="C132" s="20" t="inlineStr">
        <is>
          <t>DEV - Support Tool &gt;&gt; Custom list UI. Create custom list and Edit custom list, pages error message is not explanatory for more than 255 character length</t>
        </is>
      </c>
      <c r="D132" t="inlineStr">
        <is>
          <t>FILTER-12892</t>
        </is>
      </c>
      <c r="E132" t="inlineStr">
        <is>
          <t>Defect</t>
        </is>
      </c>
      <c r="F132" t="inlineStr">
        <is>
          <t>Prateek Fotedar</t>
        </is>
      </c>
      <c r="G132" t="inlineStr">
        <is>
          <t>Done</t>
        </is>
      </c>
      <c r="H132" t="inlineStr"/>
      <c r="I132" t="inlineStr">
        <is>
          <t>P2</t>
        </is>
      </c>
      <c r="J132" s="29" t="n">
        <v>46108</v>
      </c>
      <c r="L132" s="29" t="n">
        <v>46129</v>
      </c>
      <c r="M132" t="inlineStr">
        <is>
          <t>sprint-Gonzalo</t>
        </is>
      </c>
      <c r="N132" s="11" t="n">
        <v>2</v>
      </c>
      <c r="O132" s="11" t="n">
        <v>2</v>
      </c>
      <c r="P132" t="inlineStr">
        <is>
          <t>FILTER</t>
        </is>
      </c>
      <c r="Q132" t="inlineStr"/>
      <c r="R132" t="inlineStr"/>
      <c r="S132" t="inlineStr"/>
    </row>
    <row r="133">
      <c r="A133" t="inlineStr">
        <is>
          <t>Dev</t>
        </is>
      </c>
      <c r="B133" s="28" t="inlineStr">
        <is>
          <t>FILTER-12901</t>
        </is>
      </c>
      <c r="C133" s="20" t="inlineStr">
        <is>
          <t>DEV - Support Tool &gt;&gt; Custom list UI. Create custom list and Edit custom list, pages error message is not explanatory for duplicate Custom list name</t>
        </is>
      </c>
      <c r="D133" t="inlineStr">
        <is>
          <t>FILTER-12900</t>
        </is>
      </c>
      <c r="E133" t="inlineStr">
        <is>
          <t>Defect</t>
        </is>
      </c>
      <c r="F133" t="inlineStr">
        <is>
          <t>Prateek Fotedar</t>
        </is>
      </c>
      <c r="G133" t="inlineStr">
        <is>
          <t>Done</t>
        </is>
      </c>
      <c r="H133" t="inlineStr"/>
      <c r="I133" t="inlineStr">
        <is>
          <t>P2</t>
        </is>
      </c>
      <c r="J133" s="29" t="n">
        <v>46108</v>
      </c>
      <c r="L133" s="29" t="n">
        <v>46129</v>
      </c>
      <c r="M133" t="inlineStr">
        <is>
          <t>sprint-Gonzalo</t>
        </is>
      </c>
      <c r="N133" s="11" t="n">
        <v>2</v>
      </c>
      <c r="O133" s="11" t="n">
        <v>2</v>
      </c>
      <c r="P133" t="inlineStr">
        <is>
          <t>FILTER</t>
        </is>
      </c>
      <c r="Q133" t="inlineStr"/>
      <c r="R133" t="inlineStr"/>
      <c r="S133" t="inlineStr"/>
    </row>
    <row r="134">
      <c r="A134" t="inlineStr">
        <is>
          <t>Dev</t>
        </is>
      </c>
      <c r="B134" s="28" t="inlineStr">
        <is>
          <t>FILTER-13032</t>
        </is>
      </c>
      <c r="C134" s="20" t="inlineStr">
        <is>
          <t>DEV - Automate performance testing for tokenization cron job</t>
        </is>
      </c>
      <c r="D134" t="inlineStr">
        <is>
          <t>FILTER-13031</t>
        </is>
      </c>
      <c r="E134" t="inlineStr">
        <is>
          <t>Task</t>
        </is>
      </c>
      <c r="F134" t="inlineStr">
        <is>
          <t>Prateek Fotedar</t>
        </is>
      </c>
      <c r="G134" t="inlineStr">
        <is>
          <t>Closed without action</t>
        </is>
      </c>
      <c r="H134" t="inlineStr"/>
      <c r="I134" t="inlineStr">
        <is>
          <t>P3</t>
        </is>
      </c>
      <c r="J134" s="29" t="n">
        <v>46112</v>
      </c>
      <c r="L134" s="29" t="n">
        <v>46133</v>
      </c>
      <c r="M134" t="inlineStr">
        <is>
          <t>sprint-Gonzalo</t>
        </is>
      </c>
      <c r="N134" s="11" t="n">
        <v>1</v>
      </c>
      <c r="O134" s="11" t="n">
        <v>1</v>
      </c>
      <c r="P134" t="inlineStr">
        <is>
          <t>FILTER</t>
        </is>
      </c>
      <c r="Q134" t="inlineStr"/>
      <c r="R134" t="inlineStr"/>
      <c r="S134" t="inlineStr"/>
    </row>
    <row r="135">
      <c r="A135" t="inlineStr">
        <is>
          <t>Dev</t>
        </is>
      </c>
      <c r="B135" s="28" t="inlineStr">
        <is>
          <t>FILTER-13100</t>
        </is>
      </c>
      <c r="C135" s="20" t="inlineStr">
        <is>
          <t>DEV - (Not in Pkg 41) Support Tool &gt;&gt; Custom list UI. Not able to create Custom list</t>
        </is>
      </c>
      <c r="D135" t="inlineStr">
        <is>
          <t>FILTER-13099</t>
        </is>
      </c>
      <c r="E135" t="inlineStr">
        <is>
          <t>Defect</t>
        </is>
      </c>
      <c r="F135" t="inlineStr">
        <is>
          <t>Prateek Fotedar</t>
        </is>
      </c>
      <c r="G135" t="inlineStr">
        <is>
          <t>Done</t>
        </is>
      </c>
      <c r="H135" t="inlineStr"/>
      <c r="I135" t="inlineStr">
        <is>
          <t>P1</t>
        </is>
      </c>
      <c r="J135" s="29" t="n">
        <v>46114</v>
      </c>
      <c r="L135" s="29" t="n">
        <v>46118</v>
      </c>
      <c r="M135" t="inlineStr">
        <is>
          <t>sprint-Gonzalo</t>
        </is>
      </c>
      <c r="N135" s="11" t="n">
        <v>2</v>
      </c>
      <c r="O135" s="11" t="n">
        <v>2</v>
      </c>
      <c r="P135" t="inlineStr">
        <is>
          <t>FILTER</t>
        </is>
      </c>
      <c r="Q135" t="inlineStr"/>
      <c r="R135" t="inlineStr"/>
      <c r="S135" t="inlineStr"/>
    </row>
    <row r="136">
      <c r="A136" t="inlineStr">
        <is>
          <t>Dev</t>
        </is>
      </c>
      <c r="B136" s="28" t="inlineStr">
        <is>
          <t>FILTER-13277</t>
        </is>
      </c>
      <c r="C136" s="20" t="inlineStr">
        <is>
          <t xml:space="preserve"> CA &amp; UK DNS filtering not working as expected - Tokenization code change</t>
        </is>
      </c>
      <c r="D136" t="inlineStr">
        <is>
          <t>FILTER-13129</t>
        </is>
      </c>
      <c r="E136" t="inlineStr">
        <is>
          <t>Escape Defect</t>
        </is>
      </c>
      <c r="F136" t="inlineStr">
        <is>
          <t>Prateek Fotedar</t>
        </is>
      </c>
      <c r="G136" t="inlineStr">
        <is>
          <t>Done</t>
        </is>
      </c>
      <c r="H136" t="inlineStr"/>
      <c r="I136" t="inlineStr">
        <is>
          <t>P1</t>
        </is>
      </c>
      <c r="J136" s="29" t="n">
        <v>46118</v>
      </c>
      <c r="L136" s="29" t="n">
        <v>46118</v>
      </c>
      <c r="M136" t="inlineStr">
        <is>
          <t>sprint-Gonzalo</t>
        </is>
      </c>
      <c r="N136" s="11" t="n">
        <v>3</v>
      </c>
      <c r="O136" s="11" t="n">
        <v>3</v>
      </c>
      <c r="P136" t="inlineStr">
        <is>
          <t>FILTER</t>
        </is>
      </c>
      <c r="Q136" t="inlineStr"/>
      <c r="R136" t="inlineStr"/>
      <c r="S136" t="inlineStr"/>
    </row>
    <row r="137">
      <c r="A137" t="inlineStr">
        <is>
          <t>Dev</t>
        </is>
      </c>
      <c r="B137" s="28" t="inlineStr">
        <is>
          <t>FILTER-13327</t>
        </is>
      </c>
      <c r="C137" s="20" t="inlineStr">
        <is>
          <t>DEV - Users receiving {"success":0,"message":"Internal Server Error"} when trying to use Google search and browse sites.</t>
        </is>
      </c>
      <c r="D137" t="inlineStr">
        <is>
          <t>FILTER-13326</t>
        </is>
      </c>
      <c r="E137" t="inlineStr">
        <is>
          <t>Escape Defect</t>
        </is>
      </c>
      <c r="F137" t="inlineStr">
        <is>
          <t>Prateek Fotedar</t>
        </is>
      </c>
      <c r="G137" t="inlineStr">
        <is>
          <t>Done</t>
        </is>
      </c>
      <c r="H137" t="inlineStr"/>
      <c r="I137" t="inlineStr">
        <is>
          <t>P2</t>
        </is>
      </c>
      <c r="J137" s="29" t="n">
        <v>46120</v>
      </c>
      <c r="L137" s="29" t="n">
        <v>46120</v>
      </c>
      <c r="M137" t="inlineStr">
        <is>
          <t>sprint-Gonzalo</t>
        </is>
      </c>
      <c r="N137" s="11" t="n">
        <v>1.5</v>
      </c>
      <c r="O137" s="11" t="n">
        <v>1.5</v>
      </c>
      <c r="P137" t="inlineStr">
        <is>
          <t>FILTER</t>
        </is>
      </c>
      <c r="Q137" t="inlineStr"/>
      <c r="R137" t="inlineStr"/>
      <c r="S137" t="inlineStr"/>
    </row>
    <row r="138">
      <c r="A138" t="inlineStr">
        <is>
          <t>Dev</t>
        </is>
      </c>
      <c r="B138" s="28" t="inlineStr">
        <is>
          <t>FILTER-13361</t>
        </is>
      </c>
      <c r="C138" s="20" t="inlineStr">
        <is>
          <t>DEV - Investigate and fix 'identifier at index 0 is empty' errors in tokenization-service</t>
        </is>
      </c>
      <c r="D138" t="inlineStr">
        <is>
          <t>FILTER-13360</t>
        </is>
      </c>
      <c r="E138" t="inlineStr">
        <is>
          <t>Escape Defect</t>
        </is>
      </c>
      <c r="F138" t="inlineStr">
        <is>
          <t>Prateek Fotedar</t>
        </is>
      </c>
      <c r="G138" t="inlineStr">
        <is>
          <t>Done</t>
        </is>
      </c>
      <c r="H138" t="inlineStr"/>
      <c r="I138" t="inlineStr">
        <is>
          <t>P0</t>
        </is>
      </c>
      <c r="J138" s="29" t="n">
        <v>46120</v>
      </c>
      <c r="L138" s="29" t="n">
        <v>46121</v>
      </c>
      <c r="M138" t="inlineStr">
        <is>
          <t>sprint-Gonzalo</t>
        </is>
      </c>
      <c r="N138" s="11" t="n">
        <v>3</v>
      </c>
      <c r="O138" s="11" t="n">
        <v>3</v>
      </c>
      <c r="P138" t="inlineStr">
        <is>
          <t>FILTER</t>
        </is>
      </c>
      <c r="Q138" t="inlineStr"/>
      <c r="R138" t="inlineStr"/>
      <c r="S138" t="inlineStr"/>
    </row>
    <row r="139">
      <c r="A139" t="inlineStr">
        <is>
          <t>Dev</t>
        </is>
      </c>
      <c r="B139" s="28" t="inlineStr">
        <is>
          <t>FILTER-11896</t>
        </is>
      </c>
      <c r="C139" s="20" t="inlineStr">
        <is>
          <t>Vector Expansion - Add http://kiddle.co/ to search scanning</t>
        </is>
      </c>
      <c r="D139" t="inlineStr">
        <is>
          <t>FILTER-11895</t>
        </is>
      </c>
      <c r="E139" t="inlineStr">
        <is>
          <t>Story</t>
        </is>
      </c>
      <c r="F139" t="inlineStr">
        <is>
          <t>Pratik Tiwari</t>
        </is>
      </c>
      <c r="G139" t="inlineStr">
        <is>
          <t>Done</t>
        </is>
      </c>
      <c r="H139" t="inlineStr"/>
      <c r="I139" t="inlineStr">
        <is>
          <t>P2</t>
        </is>
      </c>
      <c r="J139" s="29" t="n">
        <v>46051</v>
      </c>
      <c r="L139" s="29" t="n">
        <v>46118</v>
      </c>
      <c r="M139" t="inlineStr">
        <is>
          <t>sprint-Gonzalo</t>
        </is>
      </c>
      <c r="N139" s="11" t="n">
        <v>10</v>
      </c>
      <c r="O139" s="11" t="n">
        <v>10</v>
      </c>
      <c r="P139" t="inlineStr">
        <is>
          <t>FILTER</t>
        </is>
      </c>
      <c r="Q139" t="inlineStr"/>
      <c r="R139" t="inlineStr"/>
      <c r="S139" t="inlineStr"/>
    </row>
    <row r="140">
      <c r="A140" t="inlineStr">
        <is>
          <t>Dev</t>
        </is>
      </c>
      <c r="B140" s="28" t="inlineStr">
        <is>
          <t>FILTER-12165</t>
        </is>
      </c>
      <c r="C140" s="20" t="inlineStr">
        <is>
          <t>Block W3Schools (and similar) HTML sandbox bypass via CDN/third-party iframe loading (e.g. jsdelivr, Vercel, W3Spaces)</t>
        </is>
      </c>
      <c r="D140" t="inlineStr">
        <is>
          <t>FILTER-12093</t>
        </is>
      </c>
      <c r="E140" t="inlineStr">
        <is>
          <t>Escape Defect</t>
        </is>
      </c>
      <c r="F140" t="inlineStr">
        <is>
          <t>Pratik Tiwari</t>
        </is>
      </c>
      <c r="G140" t="inlineStr">
        <is>
          <t>Done</t>
        </is>
      </c>
      <c r="H140" t="inlineStr"/>
      <c r="I140" t="inlineStr">
        <is>
          <t>P1</t>
        </is>
      </c>
      <c r="J140" s="29" t="n">
        <v>46077</v>
      </c>
      <c r="L140" s="29" t="n">
        <v>46118</v>
      </c>
      <c r="M140" t="inlineStr">
        <is>
          <t>sprint-Gonzalo</t>
        </is>
      </c>
      <c r="N140" s="11" t="n">
        <v>16</v>
      </c>
      <c r="O140" s="11" t="n">
        <v>13</v>
      </c>
      <c r="P140" t="inlineStr">
        <is>
          <t>FILTER</t>
        </is>
      </c>
      <c r="Q140" t="inlineStr"/>
      <c r="R140" t="inlineStr"/>
      <c r="S140" t="inlineStr"/>
    </row>
    <row r="141">
      <c r="A141" t="inlineStr">
        <is>
          <t>Dev</t>
        </is>
      </c>
      <c r="B141" s="28" t="inlineStr">
        <is>
          <t>FILTER-12540</t>
        </is>
      </c>
      <c r="C141" s="20" t="inlineStr">
        <is>
          <t>DEV -Extension Bypass - Opening new tab</t>
        </is>
      </c>
      <c r="D141" t="inlineStr">
        <is>
          <t>FILTER-12476</t>
        </is>
      </c>
      <c r="E141" t="inlineStr">
        <is>
          <t>Escape Defect</t>
        </is>
      </c>
      <c r="F141" t="inlineStr">
        <is>
          <t>Pratik Tiwari</t>
        </is>
      </c>
      <c r="G141" t="inlineStr">
        <is>
          <t>Done</t>
        </is>
      </c>
      <c r="H141" t="inlineStr"/>
      <c r="I141" t="inlineStr">
        <is>
          <t>P1</t>
        </is>
      </c>
      <c r="J141" s="29" t="n">
        <v>46098</v>
      </c>
      <c r="L141" s="29" t="n">
        <v>46140</v>
      </c>
      <c r="M141" t="inlineStr">
        <is>
          <t>sprint-Gonzalo</t>
        </is>
      </c>
      <c r="N141" s="11" t="n">
        <v>12</v>
      </c>
      <c r="O141" s="11" t="n">
        <v>12</v>
      </c>
      <c r="P141" t="inlineStr">
        <is>
          <t>FILTER</t>
        </is>
      </c>
      <c r="Q141" t="inlineStr"/>
      <c r="R141" t="inlineStr"/>
      <c r="S141" t="inlineStr"/>
    </row>
    <row r="142">
      <c r="A142" t="inlineStr">
        <is>
          <t>Dev</t>
        </is>
      </c>
      <c r="B142" s="28" t="inlineStr">
        <is>
          <t>FILTER-12821</t>
        </is>
      </c>
      <c r="C142" s="20" t="inlineStr">
        <is>
          <t>DEV - Windows Extn : TS - Safe search is not getting applied immediately on google search engine(Ensure that api response shows  SS enabled)</t>
        </is>
      </c>
      <c r="D142" t="inlineStr">
        <is>
          <t>FILTER-12820</t>
        </is>
      </c>
      <c r="E142" t="inlineStr">
        <is>
          <t>Defect</t>
        </is>
      </c>
      <c r="F142" t="inlineStr">
        <is>
          <t>Pratik Tiwari</t>
        </is>
      </c>
      <c r="G142" t="inlineStr">
        <is>
          <t>Code Review</t>
        </is>
      </c>
      <c r="H142" t="inlineStr"/>
      <c r="I142" t="inlineStr">
        <is>
          <t>P2</t>
        </is>
      </c>
      <c r="J142" s="29" t="n">
        <v>46108</v>
      </c>
      <c r="L142" s="29" t="n">
        <v>46126</v>
      </c>
      <c r="M142" t="inlineStr">
        <is>
          <t>sprint-Gonzalo</t>
        </is>
      </c>
      <c r="N142" s="11" t="n">
        <v>0</v>
      </c>
      <c r="O142" s="11" t="n">
        <v>6</v>
      </c>
      <c r="P142" t="inlineStr">
        <is>
          <t>FILTER</t>
        </is>
      </c>
      <c r="Q142" t="inlineStr"/>
      <c r="R142" t="inlineStr"/>
      <c r="S142" t="inlineStr"/>
    </row>
    <row r="143">
      <c r="A143" t="inlineStr">
        <is>
          <t>Dev</t>
        </is>
      </c>
      <c r="B143" s="28" t="inlineStr">
        <is>
          <t>FILTER-13010</t>
        </is>
      </c>
      <c r="C143" s="20" t="inlineStr">
        <is>
          <t>DEV - CLONE - [Edge-TS] - Blocked Google search triggers an infinite window.alert popup loop, locking the entire browser</t>
        </is>
      </c>
      <c r="D143" t="inlineStr">
        <is>
          <t>FILTER-13009</t>
        </is>
      </c>
      <c r="E143" t="inlineStr">
        <is>
          <t>Defect</t>
        </is>
      </c>
      <c r="F143" t="inlineStr">
        <is>
          <t>Pratik Tiwari</t>
        </is>
      </c>
      <c r="G143" t="inlineStr">
        <is>
          <t>Closed without action</t>
        </is>
      </c>
      <c r="H143" t="inlineStr"/>
      <c r="I143" t="inlineStr">
        <is>
          <t>P0</t>
        </is>
      </c>
      <c r="J143" s="29" t="n">
        <v>46111</v>
      </c>
      <c r="L143" s="29" t="n">
        <v>46118</v>
      </c>
      <c r="M143" t="inlineStr">
        <is>
          <t>sprint-Gonzalo</t>
        </is>
      </c>
      <c r="N143" s="11" t="n">
        <v>0</v>
      </c>
      <c r="O143" s="11" t="n">
        <v>0</v>
      </c>
      <c r="P143" t="inlineStr">
        <is>
          <t>FILTER</t>
        </is>
      </c>
      <c r="Q143" t="inlineStr"/>
      <c r="R143" t="inlineStr"/>
      <c r="S143" t="inlineStr"/>
    </row>
    <row r="144">
      <c r="A144" t="inlineStr">
        <is>
          <t>Dev</t>
        </is>
      </c>
      <c r="B144" s="28" t="inlineStr">
        <is>
          <t>FILTER-13106</t>
        </is>
      </c>
      <c r="C144" s="20" t="inlineStr">
        <is>
          <t xml:space="preserve">DEV - Looking for solution for HTML Editor vulnerabilities </t>
        </is>
      </c>
      <c r="D144" t="inlineStr">
        <is>
          <t>FILTER-13105</t>
        </is>
      </c>
      <c r="E144" t="inlineStr">
        <is>
          <t>Escape Defect</t>
        </is>
      </c>
      <c r="F144" t="inlineStr">
        <is>
          <t>Pratik Tiwari</t>
        </is>
      </c>
      <c r="G144" t="inlineStr">
        <is>
          <t>Done</t>
        </is>
      </c>
      <c r="H144" t="inlineStr"/>
      <c r="I144" t="inlineStr">
        <is>
          <t>P1</t>
        </is>
      </c>
      <c r="J144" s="29" t="n">
        <v>46114</v>
      </c>
      <c r="L144" s="29" t="n">
        <v>46136</v>
      </c>
      <c r="M144" t="inlineStr">
        <is>
          <t>sprint-Gonzalo</t>
        </is>
      </c>
      <c r="N144" s="11" t="n">
        <v>12</v>
      </c>
      <c r="O144" s="11" t="n">
        <v>12</v>
      </c>
      <c r="P144" t="inlineStr">
        <is>
          <t>FILTER</t>
        </is>
      </c>
      <c r="Q144" t="inlineStr"/>
      <c r="R144" t="inlineStr"/>
      <c r="S144" t="inlineStr"/>
    </row>
    <row r="145">
      <c r="A145" t="inlineStr">
        <is>
          <t>Story</t>
        </is>
      </c>
      <c r="B145" s="28" t="inlineStr">
        <is>
          <t>FILTER-12333</t>
        </is>
      </c>
      <c r="C145" s="20" t="inlineStr">
        <is>
          <t>[sprox] RTQA5 testing for DNS &amp; SPAC</t>
        </is>
      </c>
      <c r="D145" t="inlineStr">
        <is>
          <t>FILTER-8230</t>
        </is>
      </c>
      <c r="E145" t="inlineStr">
        <is>
          <t>Epic</t>
        </is>
      </c>
      <c r="F145" t="inlineStr">
        <is>
          <t>Ravi Raj</t>
        </is>
      </c>
      <c r="G145" t="inlineStr">
        <is>
          <t>Closed without action</t>
        </is>
      </c>
      <c r="H145" t="inlineStr"/>
      <c r="I145" t="inlineStr">
        <is>
          <t>P3</t>
        </is>
      </c>
      <c r="J145" s="29" t="n">
        <v>46083</v>
      </c>
      <c r="L145" s="29" t="n">
        <v>46126</v>
      </c>
      <c r="M145" t="inlineStr">
        <is>
          <t>sprint-Gonzalo</t>
        </is>
      </c>
      <c r="N145" s="11" t="n">
        <v>16</v>
      </c>
      <c r="O145" s="11" t="n">
        <v>0</v>
      </c>
      <c r="P145" t="inlineStr">
        <is>
          <t>FILTER</t>
        </is>
      </c>
      <c r="Q145" t="inlineStr"/>
      <c r="R145" t="inlineStr"/>
      <c r="S145" t="inlineStr"/>
    </row>
    <row r="146">
      <c r="A146" t="inlineStr">
        <is>
          <t>Dev</t>
        </is>
      </c>
      <c r="B146" s="28" t="inlineStr">
        <is>
          <t>FILTER-12336</t>
        </is>
      </c>
      <c r="C146" s="20" t="inlineStr">
        <is>
          <t>[sprox] RTQA5 testing for DNS &amp; SPAC</t>
        </is>
      </c>
      <c r="D146" t="inlineStr">
        <is>
          <t>FILTER-12333</t>
        </is>
      </c>
      <c r="E146" t="inlineStr">
        <is>
          <t>Story</t>
        </is>
      </c>
      <c r="F146" t="inlineStr">
        <is>
          <t>Ravi Raj</t>
        </is>
      </c>
      <c r="G146" t="inlineStr">
        <is>
          <t>Closed without action</t>
        </is>
      </c>
      <c r="H146" t="inlineStr"/>
      <c r="I146" t="inlineStr">
        <is>
          <t>P3</t>
        </is>
      </c>
      <c r="J146" s="29" t="n">
        <v>46084</v>
      </c>
      <c r="L146" s="29" t="n">
        <v>46126</v>
      </c>
      <c r="M146" t="inlineStr">
        <is>
          <t>sprint-Gonzalo</t>
        </is>
      </c>
      <c r="N146" s="11" t="n">
        <v>16</v>
      </c>
      <c r="O146" s="11" t="n">
        <v>16</v>
      </c>
      <c r="P146" t="inlineStr">
        <is>
          <t>FILTER</t>
        </is>
      </c>
      <c r="Q146" t="inlineStr"/>
      <c r="R146" t="inlineStr"/>
      <c r="S146" t="inlineStr"/>
    </row>
    <row r="147">
      <c r="A147" t="inlineStr">
        <is>
          <t>Debug</t>
        </is>
      </c>
      <c r="B147" s="28" t="inlineStr">
        <is>
          <t>FILTER-13013</t>
        </is>
      </c>
      <c r="C147" s="20" t="inlineStr">
        <is>
          <t>[sprox] Cookie &amp; broker performance check for top proxy sites</t>
        </is>
      </c>
      <c r="D147" t="inlineStr">
        <is>
          <t>FILTER-8230</t>
        </is>
      </c>
      <c r="E147" t="inlineStr">
        <is>
          <t>Epic</t>
        </is>
      </c>
      <c r="F147" t="inlineStr">
        <is>
          <t>Ravi Raj</t>
        </is>
      </c>
      <c r="G147" t="inlineStr">
        <is>
          <t>Resolved</t>
        </is>
      </c>
      <c r="H147" t="inlineStr"/>
      <c r="I147" t="inlineStr">
        <is>
          <t>P2</t>
        </is>
      </c>
      <c r="J147" s="29" t="n">
        <v>46111</v>
      </c>
      <c r="L147" s="29" t="n">
        <v>46126</v>
      </c>
      <c r="M147" t="inlineStr">
        <is>
          <t>sprint-Gonzalo</t>
        </is>
      </c>
      <c r="N147" s="11" t="n">
        <v>16</v>
      </c>
      <c r="O147" s="11" t="n">
        <v>16</v>
      </c>
      <c r="P147" t="inlineStr">
        <is>
          <t>FILTER</t>
        </is>
      </c>
      <c r="Q147" t="inlineStr"/>
      <c r="R147" t="inlineStr"/>
      <c r="S147" t="inlineStr"/>
    </row>
    <row r="148">
      <c r="A148" t="inlineStr">
        <is>
          <t>Debug</t>
        </is>
      </c>
      <c r="B148" s="28" t="inlineStr">
        <is>
          <t>FILTER-13014</t>
        </is>
      </c>
      <c r="C148" s="20" t="inlineStr">
        <is>
          <t>[sprox] Verify securly cookie delete code from C++/Rust integration point</t>
        </is>
      </c>
      <c r="D148" t="inlineStr">
        <is>
          <t>FILTER-8230</t>
        </is>
      </c>
      <c r="E148" t="inlineStr">
        <is>
          <t>Epic</t>
        </is>
      </c>
      <c r="F148" t="inlineStr">
        <is>
          <t>Ravi Raj</t>
        </is>
      </c>
      <c r="G148" t="inlineStr">
        <is>
          <t>Resolved</t>
        </is>
      </c>
      <c r="H148" t="inlineStr"/>
      <c r="I148" t="inlineStr">
        <is>
          <t>P3</t>
        </is>
      </c>
      <c r="J148" s="29" t="n">
        <v>46111</v>
      </c>
      <c r="L148" s="29" t="n">
        <v>46125</v>
      </c>
      <c r="M148" t="inlineStr">
        <is>
          <t>sprint-Gonzalo</t>
        </is>
      </c>
      <c r="N148" s="11" t="n">
        <v>12</v>
      </c>
      <c r="O148" s="11" t="n">
        <v>12</v>
      </c>
      <c r="P148" t="inlineStr">
        <is>
          <t>FILTER</t>
        </is>
      </c>
      <c r="Q148" t="inlineStr"/>
      <c r="R148" t="inlineStr"/>
      <c r="S148" t="inlineStr"/>
    </row>
    <row r="149">
      <c r="A149" t="inlineStr">
        <is>
          <t>Debug</t>
        </is>
      </c>
      <c r="B149" s="28" t="inlineStr">
        <is>
          <t>FILTER-13015</t>
        </is>
      </c>
      <c r="C149" s="20" t="inlineStr">
        <is>
          <t>[sprox] Handle captcha logic migration to sprox</t>
        </is>
      </c>
      <c r="D149" t="inlineStr">
        <is>
          <t>FILTER-8230</t>
        </is>
      </c>
      <c r="E149" t="inlineStr">
        <is>
          <t>Epic</t>
        </is>
      </c>
      <c r="F149" t="inlineStr">
        <is>
          <t>Ravi Raj</t>
        </is>
      </c>
      <c r="G149" t="inlineStr">
        <is>
          <t>Resolved</t>
        </is>
      </c>
      <c r="H149" t="inlineStr">
        <is>
          <t>Done</t>
        </is>
      </c>
      <c r="I149" t="inlineStr">
        <is>
          <t>P2</t>
        </is>
      </c>
      <c r="J149" s="29" t="n">
        <v>46111</v>
      </c>
      <c r="K149" s="29" t="n">
        <v>46121</v>
      </c>
      <c r="L149" s="29" t="n">
        <v>46125</v>
      </c>
      <c r="M149" t="inlineStr">
        <is>
          <t>sprint-Gonzalo</t>
        </is>
      </c>
      <c r="N149" s="11" t="n">
        <v>19</v>
      </c>
      <c r="O149" s="11" t="n">
        <v>16</v>
      </c>
      <c r="P149" t="inlineStr">
        <is>
          <t>FILTER</t>
        </is>
      </c>
      <c r="Q149" t="inlineStr"/>
      <c r="R149" t="inlineStr"/>
      <c r="S149" t="inlineStr"/>
    </row>
    <row r="150">
      <c r="A150" t="inlineStr">
        <is>
          <t>Debug</t>
        </is>
      </c>
      <c r="B150" s="28" t="inlineStr">
        <is>
          <t>FILTER-13016</t>
        </is>
      </c>
      <c r="C150" s="20" t="inlineStr">
        <is>
          <t>[sprox] doRequestTransform &amp; dumpRequest function migration to sprox</t>
        </is>
      </c>
      <c r="D150" t="inlineStr">
        <is>
          <t>FILTER-8230</t>
        </is>
      </c>
      <c r="E150" t="inlineStr">
        <is>
          <t>Epic</t>
        </is>
      </c>
      <c r="F150" t="inlineStr">
        <is>
          <t>Ravi Raj</t>
        </is>
      </c>
      <c r="G150" t="inlineStr">
        <is>
          <t>Closed</t>
        </is>
      </c>
      <c r="H150" t="inlineStr">
        <is>
          <t>Fixed</t>
        </is>
      </c>
      <c r="I150" t="inlineStr">
        <is>
          <t>P2</t>
        </is>
      </c>
      <c r="J150" s="29" t="n">
        <v>46111</v>
      </c>
      <c r="K150" s="29" t="n">
        <v>46114</v>
      </c>
      <c r="L150" s="29" t="n">
        <v>46133</v>
      </c>
      <c r="M150" t="inlineStr">
        <is>
          <t>sprint-Gonzalo</t>
        </is>
      </c>
      <c r="N150" s="11" t="n">
        <v>12</v>
      </c>
      <c r="O150" s="11" t="n">
        <v>10</v>
      </c>
      <c r="P150" t="inlineStr">
        <is>
          <t>FILTER</t>
        </is>
      </c>
      <c r="Q150" t="inlineStr"/>
      <c r="R150" t="inlineStr"/>
      <c r="S150" t="inlineStr"/>
    </row>
    <row r="151">
      <c r="A151" t="inlineStr">
        <is>
          <t>Dev</t>
        </is>
      </c>
      <c r="B151" s="28" t="inlineStr">
        <is>
          <t>FILTER-12324</t>
        </is>
      </c>
      <c r="C151" s="20" t="inlineStr">
        <is>
          <t>DEV - BugCrowd-850af9c1-f86b-4c74-91ac-94ea808c8e9b-Deleted User to Continue Performing Privileged Actions (Account Deletion Bypass)</t>
        </is>
      </c>
      <c r="D151" t="inlineStr">
        <is>
          <t>FILTER-12323</t>
        </is>
      </c>
      <c r="E151" t="inlineStr">
        <is>
          <t>Defect</t>
        </is>
      </c>
      <c r="F151" t="inlineStr">
        <is>
          <t>Sagar Satpute</t>
        </is>
      </c>
      <c r="G151" t="inlineStr">
        <is>
          <t>Done</t>
        </is>
      </c>
      <c r="H151" t="inlineStr"/>
      <c r="I151" t="inlineStr">
        <is>
          <t>P3</t>
        </is>
      </c>
      <c r="J151" s="29" t="n">
        <v>46083</v>
      </c>
      <c r="L151" s="29" t="n">
        <v>46127</v>
      </c>
      <c r="M151" t="inlineStr">
        <is>
          <t>sprint-Gonzalo</t>
        </is>
      </c>
      <c r="N151" s="11" t="n">
        <v>13</v>
      </c>
      <c r="O151" s="11" t="n">
        <v>13</v>
      </c>
      <c r="P151" t="inlineStr">
        <is>
          <t>FILTER</t>
        </is>
      </c>
      <c r="Q151" t="inlineStr"/>
      <c r="R151" t="inlineStr"/>
      <c r="S151" t="inlineStr"/>
    </row>
    <row r="152">
      <c r="A152" t="inlineStr">
        <is>
          <t>Dev</t>
        </is>
      </c>
      <c r="B152" s="28" t="inlineStr">
        <is>
          <t>FILTER-12344</t>
        </is>
      </c>
      <c r="C152" s="20" t="inlineStr">
        <is>
          <t>DEV - Take-home policy settings randomly reset to all allowed/least restrictive on or around 24th Feb 2026</t>
        </is>
      </c>
      <c r="D152" t="inlineStr">
        <is>
          <t>FILTER-12343</t>
        </is>
      </c>
      <c r="E152" t="inlineStr">
        <is>
          <t>Escape Defect</t>
        </is>
      </c>
      <c r="F152" t="inlineStr">
        <is>
          <t>Sagar Satpute</t>
        </is>
      </c>
      <c r="G152" t="inlineStr">
        <is>
          <t>Closed without action</t>
        </is>
      </c>
      <c r="H152" t="inlineStr"/>
      <c r="I152" t="inlineStr">
        <is>
          <t>P3</t>
        </is>
      </c>
      <c r="J152" s="29" t="n">
        <v>46084</v>
      </c>
      <c r="L152" s="29" t="n">
        <v>46134</v>
      </c>
      <c r="M152" t="inlineStr">
        <is>
          <t>sprint-Gonzalo</t>
        </is>
      </c>
      <c r="N152" s="11" t="n">
        <v>0</v>
      </c>
      <c r="O152" s="11" t="n">
        <v>5</v>
      </c>
      <c r="P152" t="inlineStr">
        <is>
          <t>FILTER</t>
        </is>
      </c>
      <c r="Q152" t="inlineStr"/>
      <c r="R152" t="inlineStr"/>
      <c r="S152" t="inlineStr"/>
    </row>
    <row r="153">
      <c r="A153" t="inlineStr">
        <is>
          <t>Dev</t>
        </is>
      </c>
      <c r="B153" s="28" t="inlineStr">
        <is>
          <t>FILTER-12406</t>
        </is>
      </c>
      <c r="C153" s="20" t="inlineStr">
        <is>
          <t>DEV - Duplicate policies appearing in Policy editor.</t>
        </is>
      </c>
      <c r="D153" t="inlineStr">
        <is>
          <t>FILTER-12405</t>
        </is>
      </c>
      <c r="E153" t="inlineStr">
        <is>
          <t>Escape Defect</t>
        </is>
      </c>
      <c r="F153" t="inlineStr">
        <is>
          <t>Sagar Satpute</t>
        </is>
      </c>
      <c r="G153" t="inlineStr">
        <is>
          <t>Closed without action</t>
        </is>
      </c>
      <c r="H153" t="inlineStr"/>
      <c r="I153" t="inlineStr">
        <is>
          <t>P3</t>
        </is>
      </c>
      <c r="J153" s="29" t="n">
        <v>46091</v>
      </c>
      <c r="L153" s="29" t="n">
        <v>46118</v>
      </c>
      <c r="M153" t="inlineStr">
        <is>
          <t>sprint-Gonzalo</t>
        </is>
      </c>
      <c r="N153" s="11" t="n">
        <v>0</v>
      </c>
      <c r="O153" s="11" t="n">
        <v>0</v>
      </c>
      <c r="P153" t="inlineStr">
        <is>
          <t>FILTER</t>
        </is>
      </c>
      <c r="Q153" t="inlineStr"/>
      <c r="R153" t="inlineStr"/>
      <c r="S153" t="inlineStr"/>
    </row>
    <row r="154">
      <c r="A154" t="inlineStr">
        <is>
          <t>Dev</t>
        </is>
      </c>
      <c r="B154" s="28" t="inlineStr">
        <is>
          <t>FILTER-12534</t>
        </is>
      </c>
      <c r="C154" s="20" t="inlineStr">
        <is>
          <t xml:space="preserve">DEV - Build IP lookup tool to make queries across all clusters. </t>
        </is>
      </c>
      <c r="D154" t="inlineStr">
        <is>
          <t>FILTER-12396</t>
        </is>
      </c>
      <c r="E154" t="inlineStr">
        <is>
          <t>Task</t>
        </is>
      </c>
      <c r="F154" t="inlineStr">
        <is>
          <t>Sagar Satpute</t>
        </is>
      </c>
      <c r="G154" t="inlineStr">
        <is>
          <t>Done</t>
        </is>
      </c>
      <c r="H154" t="inlineStr"/>
      <c r="I154" t="inlineStr">
        <is>
          <t>P1</t>
        </is>
      </c>
      <c r="J154" s="29" t="n">
        <v>46098</v>
      </c>
      <c r="L154" s="29" t="n">
        <v>46118</v>
      </c>
      <c r="M154" t="inlineStr">
        <is>
          <t>sprint-Gonzalo</t>
        </is>
      </c>
      <c r="N154" s="11" t="n">
        <v>8</v>
      </c>
      <c r="O154" s="11" t="n">
        <v>8</v>
      </c>
      <c r="P154" t="inlineStr">
        <is>
          <t>FILTER</t>
        </is>
      </c>
      <c r="Q154" t="inlineStr"/>
      <c r="R154" t="inlineStr"/>
      <c r="S154" t="inlineStr"/>
    </row>
    <row r="155">
      <c r="A155" t="inlineStr">
        <is>
          <t>Dev</t>
        </is>
      </c>
      <c r="B155" s="28" t="inlineStr">
        <is>
          <t>FILTER-13130</t>
        </is>
      </c>
      <c r="C155" s="20" t="inlineStr">
        <is>
          <t>DEV - CA &amp; UK DNS filtering not working as expected.</t>
        </is>
      </c>
      <c r="D155" t="inlineStr">
        <is>
          <t>FILTER-13129</t>
        </is>
      </c>
      <c r="E155" t="inlineStr">
        <is>
          <t>Escape Defect</t>
        </is>
      </c>
      <c r="F155" t="inlineStr">
        <is>
          <t>Sagar Satpute</t>
        </is>
      </c>
      <c r="G155" t="inlineStr">
        <is>
          <t>Closed without action</t>
        </is>
      </c>
      <c r="H155" t="inlineStr"/>
      <c r="I155" t="inlineStr">
        <is>
          <t>P1</t>
        </is>
      </c>
      <c r="J155" s="29" t="n">
        <v>46114</v>
      </c>
      <c r="L155" s="29" t="n">
        <v>46118</v>
      </c>
      <c r="M155" t="inlineStr">
        <is>
          <t>sprint-Gonzalo</t>
        </is>
      </c>
      <c r="N155" s="11" t="n">
        <v>6</v>
      </c>
      <c r="O155" s="11" t="n">
        <v>8</v>
      </c>
      <c r="P155" t="inlineStr">
        <is>
          <t>FILTER</t>
        </is>
      </c>
      <c r="Q155" t="inlineStr"/>
      <c r="R155" t="inlineStr"/>
      <c r="S155" t="inlineStr"/>
    </row>
    <row r="156">
      <c r="A156" t="inlineStr">
        <is>
          <t>Dev</t>
        </is>
      </c>
      <c r="B156" s="28" t="inlineStr">
        <is>
          <t>FILTER-13291</t>
        </is>
      </c>
      <c r="C156" s="20" t="inlineStr">
        <is>
          <t>DEV - P1 Escalation-Searches and Sites not generating Cases | Comal ISD</t>
        </is>
      </c>
      <c r="D156" t="inlineStr">
        <is>
          <t>FILTER-13286</t>
        </is>
      </c>
      <c r="E156" t="inlineStr">
        <is>
          <t>Escape Defect</t>
        </is>
      </c>
      <c r="F156" t="inlineStr">
        <is>
          <t>Sagar Satpute</t>
        </is>
      </c>
      <c r="G156" t="inlineStr">
        <is>
          <t>Done</t>
        </is>
      </c>
      <c r="H156" t="inlineStr"/>
      <c r="I156" t="inlineStr">
        <is>
          <t>P0</t>
        </is>
      </c>
      <c r="J156" s="29" t="n">
        <v>46119</v>
      </c>
      <c r="L156" s="29" t="n">
        <v>46122</v>
      </c>
      <c r="M156" t="inlineStr">
        <is>
          <t>sprint-Gonzalo</t>
        </is>
      </c>
      <c r="N156" s="11" t="n">
        <v>8</v>
      </c>
      <c r="O156" s="11" t="n">
        <v>6</v>
      </c>
      <c r="P156" t="inlineStr">
        <is>
          <t>FILTER</t>
        </is>
      </c>
      <c r="Q156" t="inlineStr"/>
      <c r="R156" t="inlineStr"/>
      <c r="S156" t="inlineStr"/>
    </row>
    <row r="157">
      <c r="A157" t="inlineStr">
        <is>
          <t>Dev</t>
        </is>
      </c>
      <c r="B157" s="28" t="inlineStr">
        <is>
          <t>FILTER-13435</t>
        </is>
      </c>
      <c r="C157" s="20" t="inlineStr">
        <is>
          <t>DEV - Safety Console &gt;&gt; Filter. Extension. Dual Provision Kid with SG policy higher than OU/SSU, does not generate cases</t>
        </is>
      </c>
      <c r="D157" t="inlineStr">
        <is>
          <t>FILTER-13434</t>
        </is>
      </c>
      <c r="E157" t="inlineStr">
        <is>
          <t>Escape Defect</t>
        </is>
      </c>
      <c r="F157" t="inlineStr">
        <is>
          <t>Sagar Satpute</t>
        </is>
      </c>
      <c r="G157" t="inlineStr">
        <is>
          <t>Done</t>
        </is>
      </c>
      <c r="H157" t="inlineStr"/>
      <c r="I157" t="inlineStr">
        <is>
          <t>P0</t>
        </is>
      </c>
      <c r="J157" s="29" t="n">
        <v>46122</v>
      </c>
      <c r="L157" s="29" t="n">
        <v>46122</v>
      </c>
      <c r="M157" t="inlineStr">
        <is>
          <t>sprint-Gonzalo</t>
        </is>
      </c>
      <c r="N157" s="11" t="n">
        <v>6</v>
      </c>
      <c r="O157" s="11" t="n">
        <v>6</v>
      </c>
      <c r="P157" t="inlineStr">
        <is>
          <t>FILTER</t>
        </is>
      </c>
      <c r="Q157" t="inlineStr"/>
      <c r="R157" t="inlineStr"/>
      <c r="S157" t="inlineStr"/>
    </row>
    <row r="158">
      <c r="A158" t="inlineStr">
        <is>
          <t>Dev</t>
        </is>
      </c>
      <c r="B158" s="28" t="inlineStr">
        <is>
          <t>FILTER-13783</t>
        </is>
      </c>
      <c r="C158" s="20" t="inlineStr">
        <is>
          <t>DEV - Use common sso package - www-support-tool</t>
        </is>
      </c>
      <c r="D158" t="inlineStr">
        <is>
          <t>FILTER-13782</t>
        </is>
      </c>
      <c r="E158" t="inlineStr">
        <is>
          <t>Story</t>
        </is>
      </c>
      <c r="F158" t="inlineStr">
        <is>
          <t>Sagar Satpute</t>
        </is>
      </c>
      <c r="G158" t="inlineStr">
        <is>
          <t>Done</t>
        </is>
      </c>
      <c r="H158" t="inlineStr"/>
      <c r="I158" t="inlineStr">
        <is>
          <t>P3</t>
        </is>
      </c>
      <c r="J158" s="29" t="n">
        <v>46110</v>
      </c>
      <c r="L158" s="29" t="n">
        <v>46139</v>
      </c>
      <c r="M158" t="inlineStr">
        <is>
          <t>sprint-Gonzalo</t>
        </is>
      </c>
      <c r="N158" s="11" t="n">
        <v>10</v>
      </c>
      <c r="O158" s="11" t="n">
        <v>16</v>
      </c>
      <c r="P158" t="inlineStr">
        <is>
          <t>FILTER</t>
        </is>
      </c>
      <c r="Q158" t="inlineStr"/>
      <c r="R158" t="inlineStr"/>
      <c r="S158" t="inlineStr"/>
    </row>
    <row r="159">
      <c r="A159" t="inlineStr">
        <is>
          <t>Dev</t>
        </is>
      </c>
      <c r="B159" s="28" t="inlineStr">
        <is>
          <t>FILTER-13786</t>
        </is>
      </c>
      <c r="C159" s="20" t="inlineStr">
        <is>
          <t>DEV - Use common sso package - www-filter</t>
        </is>
      </c>
      <c r="D159" t="inlineStr">
        <is>
          <t>FILTER-13785</t>
        </is>
      </c>
      <c r="E159" t="inlineStr">
        <is>
          <t>Story</t>
        </is>
      </c>
      <c r="F159" t="inlineStr">
        <is>
          <t>Sagar Satpute</t>
        </is>
      </c>
      <c r="G159" t="inlineStr">
        <is>
          <t>Done</t>
        </is>
      </c>
      <c r="H159" t="inlineStr"/>
      <c r="I159" t="inlineStr">
        <is>
          <t>P3</t>
        </is>
      </c>
      <c r="J159" s="29" t="n">
        <v>46110</v>
      </c>
      <c r="L159" s="29" t="n">
        <v>46139</v>
      </c>
      <c r="M159" t="inlineStr">
        <is>
          <t>sprint-Gonzalo</t>
        </is>
      </c>
      <c r="N159" s="11" t="n">
        <v>8</v>
      </c>
      <c r="O159" s="11" t="n">
        <v>16</v>
      </c>
      <c r="P159" t="inlineStr">
        <is>
          <t>FILTER</t>
        </is>
      </c>
      <c r="Q159" t="inlineStr"/>
      <c r="R159" t="inlineStr"/>
      <c r="S159" t="inlineStr"/>
    </row>
    <row r="160">
      <c r="A160" t="inlineStr">
        <is>
          <t>Dev</t>
        </is>
      </c>
      <c r="B160" s="28" t="inlineStr">
        <is>
          <t>PTGM-664</t>
        </is>
      </c>
      <c r="C160" s="20" t="inlineStr">
        <is>
          <t>Fix linter errors in www-support-tool repo</t>
        </is>
      </c>
      <c r="D160" t="inlineStr">
        <is>
          <t>PTGM-666</t>
        </is>
      </c>
      <c r="E160" t="inlineStr">
        <is>
          <t>Story</t>
        </is>
      </c>
      <c r="F160" t="inlineStr">
        <is>
          <t>Sagar Satpute</t>
        </is>
      </c>
      <c r="G160" t="inlineStr">
        <is>
          <t>Done</t>
        </is>
      </c>
      <c r="H160" t="inlineStr"/>
      <c r="I160" t="inlineStr">
        <is>
          <t>P2</t>
        </is>
      </c>
      <c r="J160" s="29" t="n">
        <v>46027</v>
      </c>
      <c r="L160" s="29" t="n">
        <v>46126</v>
      </c>
      <c r="M160" t="inlineStr">
        <is>
          <t>sprint-Gonzalo</t>
        </is>
      </c>
      <c r="N160" s="11" t="n">
        <v>18</v>
      </c>
      <c r="O160" s="11" t="n">
        <v>21</v>
      </c>
      <c r="P160" t="inlineStr">
        <is>
          <t>PTGM</t>
        </is>
      </c>
      <c r="Q160" t="inlineStr"/>
      <c r="R160" t="inlineStr"/>
      <c r="S160" t="inlineStr"/>
    </row>
    <row r="161">
      <c r="A161" t="inlineStr">
        <is>
          <t>Dev</t>
        </is>
      </c>
      <c r="B161" s="28" t="inlineStr">
        <is>
          <t>FILTER-12897</t>
        </is>
      </c>
      <c r="C161" s="20" t="inlineStr">
        <is>
          <t>DEV - Support Tool &gt;&gt; Custom list UI. Create custom list Resource and Update custom list Resource, drawer should validated for comment length on Save of that drawer</t>
        </is>
      </c>
      <c r="D161" t="inlineStr">
        <is>
          <t>FILTER-12896</t>
        </is>
      </c>
      <c r="E161" t="inlineStr">
        <is>
          <t>Defect</t>
        </is>
      </c>
      <c r="F161" t="inlineStr">
        <is>
          <t>Shailendra Singh</t>
        </is>
      </c>
      <c r="G161" t="inlineStr">
        <is>
          <t>Closed without action</t>
        </is>
      </c>
      <c r="H161" t="inlineStr"/>
      <c r="I161" t="inlineStr">
        <is>
          <t>P2</t>
        </is>
      </c>
      <c r="J161" s="29" t="n">
        <v>46108</v>
      </c>
      <c r="L161" s="29" t="n">
        <v>46132</v>
      </c>
      <c r="M161" t="inlineStr">
        <is>
          <t>sprint-Gonzalo</t>
        </is>
      </c>
      <c r="N161" s="11" t="n">
        <v>0</v>
      </c>
      <c r="O161" s="11" t="n">
        <v>0</v>
      </c>
      <c r="P161" t="inlineStr">
        <is>
          <t>FILTER</t>
        </is>
      </c>
      <c r="Q161" t="inlineStr"/>
      <c r="R161" t="inlineStr"/>
      <c r="S161" t="inlineStr"/>
    </row>
    <row r="162">
      <c r="A162" t="inlineStr">
        <is>
          <t>QA</t>
        </is>
      </c>
      <c r="B162" s="28" t="inlineStr">
        <is>
          <t>FILTER-11661</t>
        </is>
      </c>
      <c r="C162" s="20" t="inlineStr">
        <is>
          <t xml:space="preserve">Manual Testing Tokenization service for Extension </t>
        </is>
      </c>
      <c r="D162" t="inlineStr">
        <is>
          <t>FILTER-11631</t>
        </is>
      </c>
      <c r="E162" t="inlineStr">
        <is>
          <t>Story</t>
        </is>
      </c>
      <c r="F162" t="inlineStr">
        <is>
          <t>Surabhi Choudhary</t>
        </is>
      </c>
      <c r="G162" t="inlineStr">
        <is>
          <t>Done</t>
        </is>
      </c>
      <c r="H162" t="inlineStr"/>
      <c r="I162" t="inlineStr">
        <is>
          <t>P3</t>
        </is>
      </c>
      <c r="J162" s="29" t="n">
        <v>46037</v>
      </c>
      <c r="L162" s="29" t="n">
        <v>46126</v>
      </c>
      <c r="M162" t="inlineStr">
        <is>
          <t>sprint-Gonzalo</t>
        </is>
      </c>
      <c r="N162" s="11" t="n">
        <v>24</v>
      </c>
      <c r="O162" s="11" t="n">
        <v>24</v>
      </c>
      <c r="P162" t="inlineStr">
        <is>
          <t>FILTER</t>
        </is>
      </c>
      <c r="Q162" t="inlineStr">
        <is>
          <t>Capitalized-Feature</t>
        </is>
      </c>
      <c r="R162" t="inlineStr"/>
      <c r="S162" t="inlineStr"/>
    </row>
    <row r="163">
      <c r="A163" t="inlineStr">
        <is>
          <t>QA</t>
        </is>
      </c>
      <c r="B163" s="28" t="inlineStr">
        <is>
          <t>FILTER-11666</t>
        </is>
      </c>
      <c r="C163" s="20" t="inlineStr">
        <is>
          <t>Test Complete URL Path in Categorized Queue from Crextn</t>
        </is>
      </c>
      <c r="D163" t="inlineStr">
        <is>
          <t>FILTER-11637</t>
        </is>
      </c>
      <c r="E163" t="inlineStr">
        <is>
          <t>Task</t>
        </is>
      </c>
      <c r="F163" t="inlineStr">
        <is>
          <t>Surabhi Choudhary</t>
        </is>
      </c>
      <c r="G163" t="inlineStr">
        <is>
          <t>Done</t>
        </is>
      </c>
      <c r="H163" t="inlineStr"/>
      <c r="I163" t="inlineStr">
        <is>
          <t>P2</t>
        </is>
      </c>
      <c r="J163" s="29" t="n">
        <v>46037</v>
      </c>
      <c r="L163" s="29" t="n">
        <v>46121</v>
      </c>
      <c r="M163" t="inlineStr">
        <is>
          <t>sprint-Gonzalo</t>
        </is>
      </c>
      <c r="N163" s="11" t="n">
        <v>3</v>
      </c>
      <c r="O163" s="11" t="n">
        <v>3</v>
      </c>
      <c r="P163" t="inlineStr">
        <is>
          <t>FILTER</t>
        </is>
      </c>
      <c r="Q163" t="inlineStr"/>
      <c r="R163" t="inlineStr"/>
      <c r="S163" t="inlineStr"/>
    </row>
    <row r="164">
      <c r="A164" t="inlineStr">
        <is>
          <t>Task</t>
        </is>
      </c>
      <c r="B164" s="28" t="inlineStr">
        <is>
          <t>FILTER-12200</t>
        </is>
      </c>
      <c r="C164" s="20" t="inlineStr">
        <is>
          <t>SPROX Manual Testing</t>
        </is>
      </c>
      <c r="D164" t="inlineStr">
        <is>
          <t>FILTER-8230</t>
        </is>
      </c>
      <c r="E164" t="inlineStr">
        <is>
          <t>Epic</t>
        </is>
      </c>
      <c r="F164" t="inlineStr">
        <is>
          <t>Surabhi Choudhary</t>
        </is>
      </c>
      <c r="G164" t="inlineStr">
        <is>
          <t>QA Verified</t>
        </is>
      </c>
      <c r="H164" t="inlineStr"/>
      <c r="I164" t="inlineStr">
        <is>
          <t>P2</t>
        </is>
      </c>
      <c r="J164" s="29" t="n">
        <v>46078</v>
      </c>
      <c r="L164" s="29" t="n">
        <v>46137</v>
      </c>
      <c r="M164" t="inlineStr">
        <is>
          <t>sprint-Gonzalo</t>
        </is>
      </c>
      <c r="N164" s="11" t="n">
        <v>24</v>
      </c>
      <c r="O164" s="11" t="n">
        <v>0</v>
      </c>
      <c r="P164" t="inlineStr">
        <is>
          <t>FILTER</t>
        </is>
      </c>
      <c r="Q164" t="inlineStr"/>
      <c r="R164" t="inlineStr"/>
      <c r="S164" t="inlineStr"/>
    </row>
    <row r="165">
      <c r="A165" t="inlineStr">
        <is>
          <t>QA</t>
        </is>
      </c>
      <c r="B165" s="28" t="inlineStr">
        <is>
          <t>FILTER-12659</t>
        </is>
      </c>
      <c r="C165" s="20" t="inlineStr">
        <is>
          <t xml:space="preserve">QA- Policy Map does not display OU names when searching or filtering </t>
        </is>
      </c>
      <c r="D165" t="inlineStr">
        <is>
          <t>FILTER-12657</t>
        </is>
      </c>
      <c r="E165" t="inlineStr">
        <is>
          <t>Escape Defect</t>
        </is>
      </c>
      <c r="F165" t="inlineStr">
        <is>
          <t>Surabhi Choudhary</t>
        </is>
      </c>
      <c r="G165" t="inlineStr">
        <is>
          <t>Done</t>
        </is>
      </c>
      <c r="H165" t="inlineStr"/>
      <c r="I165" t="inlineStr">
        <is>
          <t>P0</t>
        </is>
      </c>
      <c r="J165" s="29" t="n">
        <v>46105</v>
      </c>
      <c r="L165" s="29" t="n">
        <v>46122</v>
      </c>
      <c r="M165" t="inlineStr">
        <is>
          <t>sprint-Gonzalo</t>
        </is>
      </c>
      <c r="N165" s="11" t="n">
        <v>1</v>
      </c>
      <c r="O165" s="11" t="n">
        <v>1</v>
      </c>
      <c r="P165" t="inlineStr">
        <is>
          <t>FILTER</t>
        </is>
      </c>
      <c r="Q165" t="inlineStr"/>
      <c r="R165" t="inlineStr"/>
      <c r="S165" t="inlineStr"/>
    </row>
    <row r="166">
      <c r="A166" t="inlineStr">
        <is>
          <t>QA</t>
        </is>
      </c>
      <c r="B166" s="28" t="inlineStr">
        <is>
          <t>FILTER-13078</t>
        </is>
      </c>
      <c r="C166" s="20" t="inlineStr">
        <is>
          <t>SPROX Manual Testing Phase 1</t>
        </is>
      </c>
      <c r="D166" t="inlineStr">
        <is>
          <t>FILTER-12200</t>
        </is>
      </c>
      <c r="E166" t="inlineStr">
        <is>
          <t>Task</t>
        </is>
      </c>
      <c r="F166" t="inlineStr">
        <is>
          <t>Surabhi Choudhary</t>
        </is>
      </c>
      <c r="G166" t="inlineStr">
        <is>
          <t>Done</t>
        </is>
      </c>
      <c r="H166" t="inlineStr"/>
      <c r="I166" t="inlineStr">
        <is>
          <t>P2</t>
        </is>
      </c>
      <c r="J166" s="29" t="n">
        <v>46113</v>
      </c>
      <c r="L166" s="29" t="n">
        <v>46137</v>
      </c>
      <c r="M166" t="inlineStr">
        <is>
          <t>sprint-Gonzalo</t>
        </is>
      </c>
      <c r="N166" s="11" t="n">
        <v>24</v>
      </c>
      <c r="O166" s="11" t="n">
        <v>24</v>
      </c>
      <c r="P166" t="inlineStr">
        <is>
          <t>FILTER</t>
        </is>
      </c>
      <c r="Q166" t="inlineStr"/>
      <c r="R166" t="inlineStr"/>
      <c r="S166" t="inlineStr"/>
    </row>
    <row r="167">
      <c r="A167" t="inlineStr">
        <is>
          <t>QA</t>
        </is>
      </c>
      <c r="B167" s="28" t="inlineStr">
        <is>
          <t>FILTER-13079</t>
        </is>
      </c>
      <c r="C167" s="20" t="inlineStr">
        <is>
          <t>Manual Testing Tokenization service for GO Extension</t>
        </is>
      </c>
      <c r="D167" t="inlineStr">
        <is>
          <t>FILTER-11631</t>
        </is>
      </c>
      <c r="E167" t="inlineStr">
        <is>
          <t>Story</t>
        </is>
      </c>
      <c r="F167" t="inlineStr">
        <is>
          <t>Surabhi Choudhary</t>
        </is>
      </c>
      <c r="G167" t="inlineStr">
        <is>
          <t>Done</t>
        </is>
      </c>
      <c r="H167" t="inlineStr"/>
      <c r="I167" t="inlineStr">
        <is>
          <t>P2</t>
        </is>
      </c>
      <c r="J167" s="29" t="n">
        <v>46113</v>
      </c>
      <c r="L167" s="29" t="n">
        <v>46126</v>
      </c>
      <c r="M167" t="inlineStr">
        <is>
          <t>sprint-Gonzalo</t>
        </is>
      </c>
      <c r="N167" s="11" t="n">
        <v>24</v>
      </c>
      <c r="O167" s="11" t="n">
        <v>24</v>
      </c>
      <c r="P167" t="inlineStr">
        <is>
          <t>FILTER</t>
        </is>
      </c>
      <c r="Q167" t="inlineStr">
        <is>
          <t>Capitalized-Feature</t>
        </is>
      </c>
      <c r="R167" t="inlineStr"/>
      <c r="S167" t="inlineStr"/>
    </row>
    <row r="168">
      <c r="A168" t="inlineStr">
        <is>
          <t>QA</t>
        </is>
      </c>
      <c r="B168" s="28" t="inlineStr">
        <is>
          <t>FILTER-13131</t>
        </is>
      </c>
      <c r="C168" s="20" t="inlineStr">
        <is>
          <t>QA- CA &amp; UK DNS filtering not working as expected.</t>
        </is>
      </c>
      <c r="D168" t="inlineStr">
        <is>
          <t>FILTER-13129</t>
        </is>
      </c>
      <c r="E168" t="inlineStr">
        <is>
          <t>Escape Defect</t>
        </is>
      </c>
      <c r="F168" t="inlineStr">
        <is>
          <t>Surabhi Choudhary</t>
        </is>
      </c>
      <c r="G168" t="inlineStr">
        <is>
          <t>Done</t>
        </is>
      </c>
      <c r="H168" t="inlineStr"/>
      <c r="I168" t="inlineStr">
        <is>
          <t>P1</t>
        </is>
      </c>
      <c r="J168" s="29" t="n">
        <v>46114</v>
      </c>
      <c r="L168" s="29" t="n">
        <v>46119</v>
      </c>
      <c r="M168" t="inlineStr">
        <is>
          <t>sprint-Gonzalo</t>
        </is>
      </c>
      <c r="N168" s="11" t="n">
        <v>5</v>
      </c>
      <c r="O168" s="11" t="n">
        <v>5</v>
      </c>
      <c r="P168" t="inlineStr">
        <is>
          <t>FILTER</t>
        </is>
      </c>
      <c r="Q168" t="inlineStr"/>
      <c r="R168" t="inlineStr"/>
      <c r="S168" t="inlineStr"/>
    </row>
    <row r="169">
      <c r="A169" t="inlineStr">
        <is>
          <t>QA</t>
        </is>
      </c>
      <c r="B169" s="28" t="inlineStr">
        <is>
          <t>FILTER-13328</t>
        </is>
      </c>
      <c r="C169" s="20" t="inlineStr">
        <is>
          <t>QA- Users receiving {"success":0,"message":"Internal Server Error"} when trying to use Google search and browse sites.</t>
        </is>
      </c>
      <c r="D169" t="inlineStr">
        <is>
          <t>FILTER-13326</t>
        </is>
      </c>
      <c r="E169" t="inlineStr">
        <is>
          <t>Escape Defect</t>
        </is>
      </c>
      <c r="F169" t="inlineStr">
        <is>
          <t>Surabhi Choudhary</t>
        </is>
      </c>
      <c r="G169" t="inlineStr">
        <is>
          <t>Done</t>
        </is>
      </c>
      <c r="H169" t="inlineStr"/>
      <c r="I169" t="inlineStr">
        <is>
          <t>P2</t>
        </is>
      </c>
      <c r="J169" s="29" t="n">
        <v>46120</v>
      </c>
      <c r="L169" s="29" t="n">
        <v>46120</v>
      </c>
      <c r="M169" t="inlineStr">
        <is>
          <t>sprint-Gonzalo</t>
        </is>
      </c>
      <c r="N169" s="11" t="n">
        <v>2</v>
      </c>
      <c r="O169" s="11" t="n">
        <v>2</v>
      </c>
      <c r="P169" t="inlineStr">
        <is>
          <t>FILTER</t>
        </is>
      </c>
      <c r="Q169" t="inlineStr"/>
      <c r="R169" t="inlineStr"/>
      <c r="S169" t="inlineStr"/>
    </row>
    <row r="170">
      <c r="A170" t="inlineStr">
        <is>
          <t>QA</t>
        </is>
      </c>
      <c r="B170" s="28" t="inlineStr">
        <is>
          <t>FILTER-13362</t>
        </is>
      </c>
      <c r="C170" s="20" t="inlineStr">
        <is>
          <t>QA- Investigate and fix 'identifier at index 0 is empty' errors in tokenization-service</t>
        </is>
      </c>
      <c r="D170" t="inlineStr">
        <is>
          <t>FILTER-13360</t>
        </is>
      </c>
      <c r="E170" t="inlineStr">
        <is>
          <t>Escape Defect</t>
        </is>
      </c>
      <c r="F170" t="inlineStr">
        <is>
          <t>Surabhi Choudhary</t>
        </is>
      </c>
      <c r="G170" t="inlineStr">
        <is>
          <t>Done</t>
        </is>
      </c>
      <c r="H170" t="inlineStr"/>
      <c r="I170" t="inlineStr">
        <is>
          <t>P0</t>
        </is>
      </c>
      <c r="J170" s="29" t="n">
        <v>46120</v>
      </c>
      <c r="L170" s="29" t="n">
        <v>46121</v>
      </c>
      <c r="M170" t="inlineStr">
        <is>
          <t>sprint-Gonzalo</t>
        </is>
      </c>
      <c r="N170" s="11" t="n">
        <v>3</v>
      </c>
      <c r="O170" s="11" t="n">
        <v>2</v>
      </c>
      <c r="P170" t="inlineStr">
        <is>
          <t>FILTER</t>
        </is>
      </c>
      <c r="Q170" t="inlineStr"/>
      <c r="R170" t="inlineStr"/>
      <c r="S170" t="inlineStr"/>
    </row>
    <row r="171">
      <c r="A171" t="inlineStr">
        <is>
          <t>QA</t>
        </is>
      </c>
      <c r="B171" s="28" t="inlineStr">
        <is>
          <t>FILTER-13433</t>
        </is>
      </c>
      <c r="C171" s="20" t="inlineStr">
        <is>
          <t>QA - P1 Escalation-Searches and Sites not generating Cases | Comal ISD for pkg 41</t>
        </is>
      </c>
      <c r="D171" t="inlineStr">
        <is>
          <t>FILTER-13286</t>
        </is>
      </c>
      <c r="E171" t="inlineStr">
        <is>
          <t>Escape Defect</t>
        </is>
      </c>
      <c r="F171" t="inlineStr">
        <is>
          <t>Surabhi Choudhary</t>
        </is>
      </c>
      <c r="G171" t="inlineStr">
        <is>
          <t>Done</t>
        </is>
      </c>
      <c r="H171" t="inlineStr"/>
      <c r="I171" t="inlineStr">
        <is>
          <t>P0</t>
        </is>
      </c>
      <c r="J171" s="29" t="n">
        <v>46122</v>
      </c>
      <c r="L171" s="29" t="n">
        <v>46126</v>
      </c>
      <c r="M171" t="inlineStr">
        <is>
          <t>sprint-Gonzalo</t>
        </is>
      </c>
      <c r="N171" s="11" t="n">
        <v>5</v>
      </c>
      <c r="O171" s="11" t="n">
        <v>5</v>
      </c>
      <c r="P171" t="inlineStr">
        <is>
          <t>FILTER</t>
        </is>
      </c>
      <c r="Q171" t="inlineStr"/>
      <c r="R171" t="inlineStr"/>
      <c r="S171" t="inlineStr"/>
    </row>
    <row r="172">
      <c r="A172" t="inlineStr">
        <is>
          <t>Story</t>
        </is>
      </c>
      <c r="B172" s="28" t="inlineStr">
        <is>
          <t>FILTER-12467</t>
        </is>
      </c>
      <c r="C172" s="20" t="inlineStr">
        <is>
          <t>Filter Accessibility - 4.1.2 (Name, role and value)</t>
        </is>
      </c>
      <c r="D172" t="inlineStr"/>
      <c r="E172" t="inlineStr"/>
      <c r="F172" t="inlineStr">
        <is>
          <t>Swaroop Chavhan</t>
        </is>
      </c>
      <c r="G172" t="inlineStr">
        <is>
          <t>RELEASED TO PROD</t>
        </is>
      </c>
      <c r="H172" t="inlineStr"/>
      <c r="I172" t="inlineStr">
        <is>
          <t>P3</t>
        </is>
      </c>
      <c r="J172" s="29" t="n">
        <v>46094</v>
      </c>
      <c r="L172" s="29" t="n">
        <v>46139</v>
      </c>
      <c r="M172" t="inlineStr">
        <is>
          <t>sprint-Gonzalo</t>
        </is>
      </c>
      <c r="N172" s="11" t="n">
        <v>48</v>
      </c>
      <c r="O172" s="11" t="n">
        <v>0</v>
      </c>
      <c r="P172" t="inlineStr">
        <is>
          <t>FILTER</t>
        </is>
      </c>
      <c r="Q172" t="inlineStr"/>
      <c r="R172" t="inlineStr"/>
      <c r="S172" t="inlineStr"/>
    </row>
    <row r="173">
      <c r="A173" t="inlineStr">
        <is>
          <t>Dev</t>
        </is>
      </c>
      <c r="B173" s="28" t="inlineStr">
        <is>
          <t>FILTER-12468</t>
        </is>
      </c>
      <c r="C173" s="20" t="inlineStr">
        <is>
          <t>Fixing simple input with chips.</t>
        </is>
      </c>
      <c r="D173" t="inlineStr">
        <is>
          <t>FILTER-12467</t>
        </is>
      </c>
      <c r="E173" t="inlineStr">
        <is>
          <t>Story</t>
        </is>
      </c>
      <c r="F173" t="inlineStr">
        <is>
          <t>Swaroop Chavhan</t>
        </is>
      </c>
      <c r="G173" t="inlineStr">
        <is>
          <t>Done</t>
        </is>
      </c>
      <c r="H173" t="inlineStr"/>
      <c r="I173" t="inlineStr">
        <is>
          <t>P3</t>
        </is>
      </c>
      <c r="J173" s="29" t="n">
        <v>46094</v>
      </c>
      <c r="L173" s="29" t="n">
        <v>46118</v>
      </c>
      <c r="M173" t="inlineStr">
        <is>
          <t>sprint-Gonzalo</t>
        </is>
      </c>
      <c r="N173" s="11" t="n">
        <v>12</v>
      </c>
      <c r="O173" s="11" t="n">
        <v>16</v>
      </c>
      <c r="P173" t="inlineStr">
        <is>
          <t>FILTER</t>
        </is>
      </c>
      <c r="Q173" t="inlineStr"/>
      <c r="R173" t="inlineStr"/>
      <c r="S173" t="inlineStr"/>
    </row>
    <row r="174">
      <c r="A174" t="inlineStr">
        <is>
          <t>Dev</t>
        </is>
      </c>
      <c r="B174" s="28" t="inlineStr">
        <is>
          <t>FILTER-12469</t>
        </is>
      </c>
      <c r="C174" s="20" t="inlineStr">
        <is>
          <t>Fixing search with chips</t>
        </is>
      </c>
      <c r="D174" t="inlineStr">
        <is>
          <t>FILTER-12467</t>
        </is>
      </c>
      <c r="E174" t="inlineStr">
        <is>
          <t>Story</t>
        </is>
      </c>
      <c r="F174" t="inlineStr">
        <is>
          <t>Swaroop Chavhan</t>
        </is>
      </c>
      <c r="G174" t="inlineStr">
        <is>
          <t>Done</t>
        </is>
      </c>
      <c r="H174" t="inlineStr"/>
      <c r="I174" t="inlineStr">
        <is>
          <t>P3</t>
        </is>
      </c>
      <c r="J174" s="29" t="n">
        <v>46094</v>
      </c>
      <c r="L174" s="29" t="n">
        <v>46118</v>
      </c>
      <c r="M174" t="inlineStr">
        <is>
          <t>sprint-Gonzalo</t>
        </is>
      </c>
      <c r="N174" s="11" t="n">
        <v>12</v>
      </c>
      <c r="O174" s="11" t="n">
        <v>16</v>
      </c>
      <c r="P174" t="inlineStr">
        <is>
          <t>FILTER</t>
        </is>
      </c>
      <c r="Q174" t="inlineStr"/>
      <c r="R174" t="inlineStr"/>
      <c r="S174" t="inlineStr"/>
    </row>
    <row r="175">
      <c r="A175" t="inlineStr">
        <is>
          <t>Dev</t>
        </is>
      </c>
      <c r="B175" s="28" t="inlineStr">
        <is>
          <t>FILTER-12470</t>
        </is>
      </c>
      <c r="C175" s="20" t="inlineStr">
        <is>
          <t>Fixing search with autocomplete with chips</t>
        </is>
      </c>
      <c r="D175" t="inlineStr">
        <is>
          <t>FILTER-12467</t>
        </is>
      </c>
      <c r="E175" t="inlineStr">
        <is>
          <t>Story</t>
        </is>
      </c>
      <c r="F175" t="inlineStr">
        <is>
          <t>Swaroop Chavhan</t>
        </is>
      </c>
      <c r="G175" t="inlineStr">
        <is>
          <t>Done</t>
        </is>
      </c>
      <c r="H175" t="inlineStr"/>
      <c r="I175" t="inlineStr">
        <is>
          <t>P3</t>
        </is>
      </c>
      <c r="J175" s="29" t="n">
        <v>46094</v>
      </c>
      <c r="L175" s="29" t="n">
        <v>46118</v>
      </c>
      <c r="M175" t="inlineStr">
        <is>
          <t>sprint-Gonzalo</t>
        </is>
      </c>
      <c r="N175" s="11" t="n">
        <v>12</v>
      </c>
      <c r="O175" s="11" t="n">
        <v>16</v>
      </c>
      <c r="P175" t="inlineStr">
        <is>
          <t>FILTER</t>
        </is>
      </c>
      <c r="Q175" t="inlineStr"/>
      <c r="R175" t="inlineStr"/>
      <c r="S175" t="inlineStr"/>
    </row>
    <row r="176">
      <c r="A176" t="inlineStr">
        <is>
          <t>Dev</t>
        </is>
      </c>
      <c r="B176" s="28" t="inlineStr">
        <is>
          <t>FILTER-12471</t>
        </is>
      </c>
      <c r="C176" s="20" t="inlineStr">
        <is>
          <t>Fixing dropdown with chips (search inside)</t>
        </is>
      </c>
      <c r="D176" t="inlineStr">
        <is>
          <t>FILTER-12467</t>
        </is>
      </c>
      <c r="E176" t="inlineStr">
        <is>
          <t>Story</t>
        </is>
      </c>
      <c r="F176" t="inlineStr">
        <is>
          <t>Swaroop Chavhan</t>
        </is>
      </c>
      <c r="G176" t="inlineStr">
        <is>
          <t>Done</t>
        </is>
      </c>
      <c r="H176" t="inlineStr"/>
      <c r="I176" t="inlineStr">
        <is>
          <t>P3</t>
        </is>
      </c>
      <c r="J176" s="29" t="n">
        <v>46094</v>
      </c>
      <c r="L176" s="29" t="n">
        <v>46118</v>
      </c>
      <c r="M176" t="inlineStr">
        <is>
          <t>sprint-Gonzalo</t>
        </is>
      </c>
      <c r="N176" s="11" t="n">
        <v>12</v>
      </c>
      <c r="O176" s="11" t="n">
        <v>16</v>
      </c>
      <c r="P176" t="inlineStr">
        <is>
          <t>FILTER</t>
        </is>
      </c>
      <c r="Q176" t="inlineStr"/>
      <c r="R176" t="inlineStr"/>
      <c r="S176" t="inlineStr"/>
    </row>
    <row r="177">
      <c r="A177" t="inlineStr">
        <is>
          <t>Story</t>
        </is>
      </c>
      <c r="B177" s="28" t="inlineStr">
        <is>
          <t>FILTER-12472</t>
        </is>
      </c>
      <c r="C177" s="20" t="inlineStr">
        <is>
          <t>Filter Accessibility - other variations of 4.1.2, 1.4.13</t>
        </is>
      </c>
      <c r="D177" t="inlineStr"/>
      <c r="E177" t="inlineStr"/>
      <c r="F177" t="inlineStr">
        <is>
          <t>Swaroop Chavhan</t>
        </is>
      </c>
      <c r="G177" t="inlineStr">
        <is>
          <t>RELEASED TO PROD</t>
        </is>
      </c>
      <c r="H177" t="inlineStr"/>
      <c r="I177" t="inlineStr">
        <is>
          <t>P3</t>
        </is>
      </c>
      <c r="J177" s="29" t="n">
        <v>46094</v>
      </c>
      <c r="L177" s="29" t="n">
        <v>46139</v>
      </c>
      <c r="M177" t="inlineStr">
        <is>
          <t>sprint-Gonzalo</t>
        </is>
      </c>
      <c r="N177" s="11" t="n">
        <v>24</v>
      </c>
      <c r="O177" s="11" t="n">
        <v>0</v>
      </c>
      <c r="P177" t="inlineStr">
        <is>
          <t>FILTER</t>
        </is>
      </c>
      <c r="Q177" t="inlineStr"/>
      <c r="R177" t="inlineStr"/>
      <c r="S177" t="inlineStr"/>
    </row>
    <row r="178">
      <c r="A178" t="inlineStr">
        <is>
          <t>Dev</t>
        </is>
      </c>
      <c r="B178" s="28" t="inlineStr">
        <is>
          <t>FILTER-12561</t>
        </is>
      </c>
      <c r="C178" s="20" t="inlineStr">
        <is>
          <t>Find and fix pending minor accessibility issues in Filter</t>
        </is>
      </c>
      <c r="D178" t="inlineStr">
        <is>
          <t>FILTER-12472</t>
        </is>
      </c>
      <c r="E178" t="inlineStr">
        <is>
          <t>Story</t>
        </is>
      </c>
      <c r="F178" t="inlineStr">
        <is>
          <t>Swaroop Chavhan</t>
        </is>
      </c>
      <c r="G178" t="inlineStr">
        <is>
          <t>Done</t>
        </is>
      </c>
      <c r="H178" t="inlineStr"/>
      <c r="I178" t="inlineStr">
        <is>
          <t>P3</t>
        </is>
      </c>
      <c r="J178" s="29" t="n">
        <v>46099</v>
      </c>
      <c r="L178" s="29" t="n">
        <v>46118</v>
      </c>
      <c r="M178" t="inlineStr">
        <is>
          <t>sprint-Gonzalo</t>
        </is>
      </c>
      <c r="N178" s="11" t="n">
        <v>24</v>
      </c>
      <c r="O178" s="11" t="n">
        <v>24</v>
      </c>
      <c r="P178" t="inlineStr">
        <is>
          <t>FILTER</t>
        </is>
      </c>
      <c r="Q178" t="inlineStr"/>
      <c r="R178" t="inlineStr"/>
      <c r="S178" t="inlineStr"/>
    </row>
    <row r="179">
      <c r="A179" t="inlineStr">
        <is>
          <t>Dev</t>
        </is>
      </c>
      <c r="B179" s="28" t="inlineStr">
        <is>
          <t>FILTER-11665</t>
        </is>
      </c>
      <c r="C179" s="20" t="inlineStr">
        <is>
          <t>[PageScan] Send Complete URL Path in Categorized Queue from Crextn</t>
        </is>
      </c>
      <c r="D179" t="inlineStr">
        <is>
          <t>FILTER-11637</t>
        </is>
      </c>
      <c r="E179" t="inlineStr">
        <is>
          <t>Task</t>
        </is>
      </c>
      <c r="F179" t="inlineStr">
        <is>
          <t>Vaibhav Kumbhar</t>
        </is>
      </c>
      <c r="G179" t="inlineStr">
        <is>
          <t>Done</t>
        </is>
      </c>
      <c r="H179" t="inlineStr"/>
      <c r="I179" t="inlineStr">
        <is>
          <t>P2</t>
        </is>
      </c>
      <c r="J179" s="29" t="n">
        <v>46037</v>
      </c>
      <c r="L179" s="29" t="n">
        <v>46118</v>
      </c>
      <c r="M179" t="inlineStr">
        <is>
          <t>sprint-Gonzalo</t>
        </is>
      </c>
      <c r="N179" s="11" t="n">
        <v>15</v>
      </c>
      <c r="O179" s="11" t="n">
        <v>12</v>
      </c>
      <c r="P179" t="inlineStr">
        <is>
          <t>FILTER</t>
        </is>
      </c>
      <c r="Q179" t="inlineStr"/>
      <c r="R179" t="inlineStr"/>
      <c r="S179" t="inlineStr"/>
    </row>
    <row r="180">
      <c r="A180" t="inlineStr">
        <is>
          <t>Dev</t>
        </is>
      </c>
      <c r="B180" s="28" t="inlineStr">
        <is>
          <t>FILTER-12177</t>
        </is>
      </c>
      <c r="C180" s="20" t="inlineStr">
        <is>
          <t>Investigate and close about:blank loophole used to bypass filtering and access competitor content</t>
        </is>
      </c>
      <c r="D180" t="inlineStr">
        <is>
          <t>FILTER-12119</t>
        </is>
      </c>
      <c r="E180" t="inlineStr">
        <is>
          <t>Escape Defect</t>
        </is>
      </c>
      <c r="F180" t="inlineStr">
        <is>
          <t>Vaibhav Kumbhar</t>
        </is>
      </c>
      <c r="G180" t="inlineStr">
        <is>
          <t>Code Review</t>
        </is>
      </c>
      <c r="H180" t="inlineStr"/>
      <c r="I180" t="inlineStr">
        <is>
          <t>P1</t>
        </is>
      </c>
      <c r="J180" s="29" t="n">
        <v>46078</v>
      </c>
      <c r="L180" s="29" t="n">
        <v>46136</v>
      </c>
      <c r="M180" t="inlineStr">
        <is>
          <t>sprint-Gonzalo</t>
        </is>
      </c>
      <c r="N180" s="11" t="n">
        <v>20</v>
      </c>
      <c r="O180" s="11" t="n">
        <v>13</v>
      </c>
      <c r="P180" t="inlineStr">
        <is>
          <t>FILTER</t>
        </is>
      </c>
      <c r="Q180" t="inlineStr"/>
      <c r="R180" t="inlineStr"/>
      <c r="S180" t="inlineStr"/>
    </row>
    <row r="181">
      <c r="A181" t="inlineStr">
        <is>
          <t>Dev</t>
        </is>
      </c>
      <c r="B181" s="28" t="inlineStr">
        <is>
          <t>FILTER-12448</t>
        </is>
      </c>
      <c r="C181" s="20" t="inlineStr">
        <is>
          <t xml:space="preserve">DEV - Site not loading correctly with extension </t>
        </is>
      </c>
      <c r="D181" t="inlineStr">
        <is>
          <t>FILTER-12447</t>
        </is>
      </c>
      <c r="E181" t="inlineStr">
        <is>
          <t>Escape Defect</t>
        </is>
      </c>
      <c r="F181" t="inlineStr">
        <is>
          <t>Vaibhav Kumbhar</t>
        </is>
      </c>
      <c r="G181" t="inlineStr">
        <is>
          <t>Code Review</t>
        </is>
      </c>
      <c r="H181" t="inlineStr"/>
      <c r="I181" t="inlineStr">
        <is>
          <t>P3</t>
        </is>
      </c>
      <c r="J181" s="29" t="n">
        <v>46093</v>
      </c>
      <c r="L181" s="29" t="n">
        <v>46126</v>
      </c>
      <c r="M181" t="inlineStr">
        <is>
          <t>sprint-Gonzalo</t>
        </is>
      </c>
      <c r="N181" s="11" t="n">
        <v>11</v>
      </c>
      <c r="O181" s="11" t="n">
        <v>20</v>
      </c>
      <c r="P181" t="inlineStr">
        <is>
          <t>FILTER</t>
        </is>
      </c>
      <c r="Q181" t="inlineStr"/>
      <c r="R181" t="inlineStr"/>
      <c r="S181" t="inlineStr"/>
    </row>
    <row r="182">
      <c r="A182" t="inlineStr">
        <is>
          <t>Dev</t>
        </is>
      </c>
      <c r="B182" s="28" t="inlineStr">
        <is>
          <t>FILTER-12536</t>
        </is>
      </c>
      <c r="C182" s="20" t="inlineStr">
        <is>
          <t>Dev Task to Add authentication for proxy apis</t>
        </is>
      </c>
      <c r="D182" t="inlineStr">
        <is>
          <t>FILTER-11637</t>
        </is>
      </c>
      <c r="E182" t="inlineStr">
        <is>
          <t>Task</t>
        </is>
      </c>
      <c r="F182" t="inlineStr">
        <is>
          <t>Vaibhav Kumbhar</t>
        </is>
      </c>
      <c r="G182" t="inlineStr">
        <is>
          <t>Done</t>
        </is>
      </c>
      <c r="H182" t="inlineStr"/>
      <c r="I182" t="inlineStr">
        <is>
          <t>P2</t>
        </is>
      </c>
      <c r="J182" s="29" t="n">
        <v>46098</v>
      </c>
      <c r="L182" s="29" t="n">
        <v>46118</v>
      </c>
      <c r="M182" t="inlineStr">
        <is>
          <t>sprint-Gonzalo</t>
        </is>
      </c>
      <c r="N182" s="11" t="n">
        <v>20</v>
      </c>
      <c r="O182" s="11" t="n">
        <v>16</v>
      </c>
      <c r="P182" t="inlineStr">
        <is>
          <t>FILTER</t>
        </is>
      </c>
      <c r="Q182" t="inlineStr"/>
      <c r="R182" t="inlineStr"/>
      <c r="S182" t="inlineStr"/>
    </row>
    <row r="183">
      <c r="A183" t="inlineStr">
        <is>
          <t>Dev</t>
        </is>
      </c>
      <c r="B183" s="28" t="inlineStr">
        <is>
          <t>FILTER-13081</t>
        </is>
      </c>
      <c r="C183" s="20" t="inlineStr">
        <is>
          <t>DEV - Generate context for filter</t>
        </is>
      </c>
      <c r="D183" t="inlineStr">
        <is>
          <t>FILTER-13080</t>
        </is>
      </c>
      <c r="E183" t="inlineStr">
        <is>
          <t>Task</t>
        </is>
      </c>
      <c r="F183" t="inlineStr">
        <is>
          <t>Vaibhav Kumbhar</t>
        </is>
      </c>
      <c r="G183" t="inlineStr">
        <is>
          <t>Code Review</t>
        </is>
      </c>
      <c r="H183" t="inlineStr"/>
      <c r="I183" t="inlineStr">
        <is>
          <t>P3</t>
        </is>
      </c>
      <c r="J183" s="29" t="n">
        <v>46113</v>
      </c>
      <c r="L183" s="29" t="n">
        <v>46139</v>
      </c>
      <c r="M183" t="inlineStr">
        <is>
          <t>sprint-Gonzalo</t>
        </is>
      </c>
      <c r="N183" s="11" t="n">
        <v>9</v>
      </c>
      <c r="O183" s="11" t="n">
        <v>14</v>
      </c>
      <c r="P183" t="inlineStr">
        <is>
          <t>FILTER</t>
        </is>
      </c>
      <c r="Q183" t="inlineStr"/>
      <c r="R183" t="inlineStr"/>
      <c r="S183" t="inlineStr"/>
    </row>
    <row r="184">
      <c r="A184" t="inlineStr">
        <is>
          <t>Task</t>
        </is>
      </c>
      <c r="B184" s="28" t="inlineStr">
        <is>
          <t>PTGM-686</t>
        </is>
      </c>
      <c r="C184" s="20" t="inlineStr">
        <is>
          <t>[Support tool] Update context with traceid, sessionid</t>
        </is>
      </c>
      <c r="D184" t="inlineStr"/>
      <c r="E184" t="inlineStr"/>
      <c r="F184" t="inlineStr">
        <is>
          <t>Vaibhav Kumbhar</t>
        </is>
      </c>
      <c r="G184" t="inlineStr">
        <is>
          <t>Closed</t>
        </is>
      </c>
      <c r="H184" t="inlineStr">
        <is>
          <t>Done</t>
        </is>
      </c>
      <c r="I184" t="inlineStr">
        <is>
          <t>P3</t>
        </is>
      </c>
      <c r="J184" s="29" t="n">
        <v>46111</v>
      </c>
      <c r="K184" s="29" t="n">
        <v>46139</v>
      </c>
      <c r="L184" s="29" t="n">
        <v>46140</v>
      </c>
      <c r="M184" t="inlineStr">
        <is>
          <t>sprint-Gonzalo</t>
        </is>
      </c>
      <c r="N184" s="11" t="n">
        <v>6</v>
      </c>
      <c r="O184" s="11" t="n">
        <v>4</v>
      </c>
      <c r="P184" t="inlineStr">
        <is>
          <t>PTGM</t>
        </is>
      </c>
      <c r="Q184" t="inlineStr"/>
      <c r="R184" t="inlineStr"/>
      <c r="S184" t="inlineStr"/>
    </row>
    <row r="185">
      <c r="A185" t="inlineStr">
        <is>
          <t>Task</t>
        </is>
      </c>
      <c r="B185" s="28" t="inlineStr">
        <is>
          <t>PTGM-687</t>
        </is>
      </c>
      <c r="C185" s="20" t="inlineStr">
        <is>
          <t>[www-filter] Update context with traceid and sessionid</t>
        </is>
      </c>
      <c r="D185" t="inlineStr"/>
      <c r="E185" t="inlineStr"/>
      <c r="F185" t="inlineStr">
        <is>
          <t>Vaibhav Kumbhar</t>
        </is>
      </c>
      <c r="G185" t="inlineStr">
        <is>
          <t>Resolved</t>
        </is>
      </c>
      <c r="H185" t="inlineStr">
        <is>
          <t>Done</t>
        </is>
      </c>
      <c r="I185" t="inlineStr">
        <is>
          <t>P3</t>
        </is>
      </c>
      <c r="J185" s="29" t="n">
        <v>46111</v>
      </c>
      <c r="K185" s="29" t="n">
        <v>46125</v>
      </c>
      <c r="L185" s="29" t="n">
        <v>46129</v>
      </c>
      <c r="M185" t="inlineStr">
        <is>
          <t>sprint-Gonzalo</t>
        </is>
      </c>
      <c r="N185" s="11" t="n">
        <v>0</v>
      </c>
      <c r="O185" s="11" t="n">
        <v>6</v>
      </c>
      <c r="P185" t="inlineStr">
        <is>
          <t>PTGM</t>
        </is>
      </c>
      <c r="Q185" t="inlineStr"/>
      <c r="R185" t="inlineStr"/>
      <c r="S185" t="inlineStr"/>
    </row>
  </sheetData>
  <autoFilter ref="A1:S18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Debug</t>
        </is>
      </c>
      <c r="B2" s="23" t="inlineStr">
        <is>
          <t>FILTER-13047</t>
        </is>
      </c>
      <c r="C2" s="24" t="inlineStr">
        <is>
          <t>Need to work on Secrets identified on Filter/Aware repo</t>
        </is>
      </c>
      <c r="D2" s="22" t="inlineStr"/>
      <c r="E2" s="22" t="inlineStr"/>
      <c r="F2" s="22" t="inlineStr">
        <is>
          <t>Harsh Verma</t>
        </is>
      </c>
      <c r="G2" s="22" t="inlineStr">
        <is>
          <t>Open</t>
        </is>
      </c>
      <c r="H2" s="22" t="inlineStr"/>
      <c r="I2" s="22" t="inlineStr">
        <is>
          <t>P3</t>
        </is>
      </c>
      <c r="J2" s="25" t="n">
        <v>46112</v>
      </c>
      <c r="K2" s="22" t="n"/>
      <c r="L2" s="25" t="n">
        <v>46139</v>
      </c>
      <c r="M2" s="22" t="inlineStr">
        <is>
          <t>sprint-Gonzalo</t>
        </is>
      </c>
      <c r="N2" s="26" t="n">
        <v>0</v>
      </c>
      <c r="O2" s="26" t="n">
        <v>16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t="inlineStr">
        <is>
          <t>QA</t>
        </is>
      </c>
      <c r="B3" s="28" t="inlineStr">
        <is>
          <t>FILTER-12345</t>
        </is>
      </c>
      <c r="C3" s="20" t="inlineStr">
        <is>
          <t>QA- Take-home policy settings randomly reset to all allowed/least restrictive on or around 24th Feb 2026</t>
        </is>
      </c>
      <c r="D3" t="inlineStr">
        <is>
          <t>FILTER-12343</t>
        </is>
      </c>
      <c r="E3" t="inlineStr">
        <is>
          <t>Escape Defect</t>
        </is>
      </c>
      <c r="F3" t="inlineStr">
        <is>
          <t>Altamash Heroli</t>
        </is>
      </c>
      <c r="G3" t="inlineStr">
        <is>
          <t>Open</t>
        </is>
      </c>
      <c r="H3" t="inlineStr"/>
      <c r="I3" t="inlineStr">
        <is>
          <t>P3</t>
        </is>
      </c>
      <c r="J3" s="29" t="n">
        <v>46084</v>
      </c>
      <c r="L3" s="29" t="n">
        <v>46126</v>
      </c>
      <c r="M3" t="inlineStr">
        <is>
          <t>sprint-Gonzalo</t>
        </is>
      </c>
      <c r="N3" s="11" t="n">
        <v>0</v>
      </c>
      <c r="O3" s="11" t="n">
        <v>0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QA</t>
        </is>
      </c>
      <c r="B4" s="28" t="inlineStr">
        <is>
          <t>FILTER-12621</t>
        </is>
      </c>
      <c r="C4" s="20" t="inlineStr">
        <is>
          <t>QA- Policy Map Import not showing policy names | San Ramon</t>
        </is>
      </c>
      <c r="D4" t="inlineStr">
        <is>
          <t>FILTER-12619</t>
        </is>
      </c>
      <c r="E4" t="inlineStr">
        <is>
          <t>Escape Defect</t>
        </is>
      </c>
      <c r="F4" t="inlineStr">
        <is>
          <t>Altamash Heroli</t>
        </is>
      </c>
      <c r="G4" t="inlineStr">
        <is>
          <t>Open</t>
        </is>
      </c>
      <c r="H4" t="inlineStr"/>
      <c r="I4" t="inlineStr">
        <is>
          <t>P1</t>
        </is>
      </c>
      <c r="J4" s="29" t="n">
        <v>46104</v>
      </c>
      <c r="L4" s="29" t="n">
        <v>46138</v>
      </c>
      <c r="M4" t="inlineStr">
        <is>
          <t>sprint-Gonzalo</t>
        </is>
      </c>
      <c r="N4" s="11" t="n">
        <v>0</v>
      </c>
      <c r="O4" s="11" t="n">
        <v>0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QA</t>
        </is>
      </c>
      <c r="B5" s="28" t="inlineStr">
        <is>
          <t>FILTER-13784</t>
        </is>
      </c>
      <c r="C5" s="20" t="inlineStr">
        <is>
          <t>QA- Use common sso package - www-support-tool</t>
        </is>
      </c>
      <c r="D5" t="inlineStr">
        <is>
          <t>FILTER-13782</t>
        </is>
      </c>
      <c r="E5" t="inlineStr">
        <is>
          <t>Story</t>
        </is>
      </c>
      <c r="F5" t="inlineStr">
        <is>
          <t>Altamash Heroli</t>
        </is>
      </c>
      <c r="G5" t="inlineStr">
        <is>
          <t>Ready for QA</t>
        </is>
      </c>
      <c r="H5" t="inlineStr"/>
      <c r="I5" t="inlineStr">
        <is>
          <t>P3</t>
        </is>
      </c>
      <c r="J5" s="29" t="n">
        <v>46110</v>
      </c>
      <c r="L5" s="29" t="n">
        <v>46139</v>
      </c>
      <c r="M5" t="inlineStr">
        <is>
          <t>sprint-Gonzalo</t>
        </is>
      </c>
      <c r="N5" s="11" t="n">
        <v>0</v>
      </c>
      <c r="O5" s="11" t="n">
        <v>0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QA</t>
        </is>
      </c>
      <c r="B6" s="28" t="inlineStr">
        <is>
          <t>FILTER-13787</t>
        </is>
      </c>
      <c r="C6" s="20" t="inlineStr">
        <is>
          <t>QA- Use common sso package - www-filter</t>
        </is>
      </c>
      <c r="D6" t="inlineStr">
        <is>
          <t>FILTER-13785</t>
        </is>
      </c>
      <c r="E6" t="inlineStr">
        <is>
          <t>Story</t>
        </is>
      </c>
      <c r="F6" t="inlineStr">
        <is>
          <t>Altamash Heroli</t>
        </is>
      </c>
      <c r="G6" t="inlineStr">
        <is>
          <t>Ready for QA</t>
        </is>
      </c>
      <c r="H6" t="inlineStr"/>
      <c r="I6" t="inlineStr">
        <is>
          <t>P3</t>
        </is>
      </c>
      <c r="J6" s="29" t="n">
        <v>46110</v>
      </c>
      <c r="L6" s="29" t="n">
        <v>46139</v>
      </c>
      <c r="M6" t="inlineStr">
        <is>
          <t>sprint-Gonzalo</t>
        </is>
      </c>
      <c r="N6" s="11" t="n">
        <v>0</v>
      </c>
      <c r="O6" s="11" t="n">
        <v>0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QA</t>
        </is>
      </c>
      <c r="B7" s="28" t="inlineStr">
        <is>
          <t>FILTER-11844</t>
        </is>
      </c>
      <c r="C7" s="20" t="inlineStr">
        <is>
          <t>Verify fix for SafetyConsole CustomList API - Token invalidation on re-authentication</t>
        </is>
      </c>
      <c r="D7" t="inlineStr">
        <is>
          <t>FILTER-11687</t>
        </is>
      </c>
      <c r="E7" t="inlineStr">
        <is>
          <t>Defect</t>
        </is>
      </c>
      <c r="F7" t="inlineStr">
        <is>
          <t>Amit Shete</t>
        </is>
      </c>
      <c r="G7" t="inlineStr">
        <is>
          <t>Open</t>
        </is>
      </c>
      <c r="H7" t="inlineStr"/>
      <c r="I7" t="inlineStr">
        <is>
          <t>P2</t>
        </is>
      </c>
      <c r="J7" s="29" t="n">
        <v>46051</v>
      </c>
      <c r="L7" s="29" t="n">
        <v>46139</v>
      </c>
      <c r="M7" t="inlineStr">
        <is>
          <t>sprint-Gonzalo</t>
        </is>
      </c>
      <c r="N7" s="11" t="n">
        <v>0</v>
      </c>
      <c r="O7" s="11" t="n">
        <v>2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QA</t>
        </is>
      </c>
      <c r="B8" s="28" t="inlineStr">
        <is>
          <t>FILTER-11873</t>
        </is>
      </c>
      <c r="C8" s="20" t="inlineStr">
        <is>
          <t>Verify CustomList API returns 401 when Filter Product is disabled</t>
        </is>
      </c>
      <c r="D8" t="inlineStr">
        <is>
          <t>FILTER-11688</t>
        </is>
      </c>
      <c r="E8" t="inlineStr">
        <is>
          <t>Escape Defect</t>
        </is>
      </c>
      <c r="F8" t="inlineStr">
        <is>
          <t>Amit Shete</t>
        </is>
      </c>
      <c r="G8" t="inlineStr">
        <is>
          <t>Ready for QA</t>
        </is>
      </c>
      <c r="H8" t="inlineStr"/>
      <c r="I8" t="inlineStr">
        <is>
          <t>P3</t>
        </is>
      </c>
      <c r="J8" s="29" t="n">
        <v>46051</v>
      </c>
      <c r="L8" s="29" t="n">
        <v>46139</v>
      </c>
      <c r="M8" t="inlineStr">
        <is>
          <t>sprint-Gonzalo</t>
        </is>
      </c>
      <c r="N8" s="11" t="n">
        <v>0</v>
      </c>
      <c r="O8" s="11" t="n">
        <v>2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Automation</t>
        </is>
      </c>
      <c r="B9" s="28" t="inlineStr">
        <is>
          <t>FILTER-12179</t>
        </is>
      </c>
      <c r="C9" s="20" t="inlineStr">
        <is>
          <t>Scripting for about:blank loophole fix – policy and redirect behavior</t>
        </is>
      </c>
      <c r="D9" t="inlineStr">
        <is>
          <t>FILTER-12119</t>
        </is>
      </c>
      <c r="E9" t="inlineStr">
        <is>
          <t>Escape Defect</t>
        </is>
      </c>
      <c r="F9" t="inlineStr">
        <is>
          <t>Amit Shete</t>
        </is>
      </c>
      <c r="G9" t="inlineStr">
        <is>
          <t>Open</t>
        </is>
      </c>
      <c r="H9" t="inlineStr"/>
      <c r="I9" t="inlineStr">
        <is>
          <t>P1</t>
        </is>
      </c>
      <c r="J9" s="29" t="n">
        <v>46078</v>
      </c>
      <c r="L9" s="29" t="n">
        <v>46126</v>
      </c>
      <c r="M9" t="inlineStr">
        <is>
          <t>sprint-Gonzalo</t>
        </is>
      </c>
      <c r="N9" s="11" t="n">
        <v>0</v>
      </c>
      <c r="O9" s="11" t="n">
        <v>4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Automation</t>
        </is>
      </c>
      <c r="B10" s="28" t="inlineStr">
        <is>
          <t>FILTER-12494</t>
        </is>
      </c>
      <c r="C10" s="20" t="inlineStr">
        <is>
          <t>QA- In prod: Yes, (PHP) – Default Securly logo not visible on blocked page when no custom logo is configured via support tool or general settings</t>
        </is>
      </c>
      <c r="D10" t="inlineStr">
        <is>
          <t>FILTER-12491</t>
        </is>
      </c>
      <c r="E10" t="inlineStr">
        <is>
          <t>Escape Defect</t>
        </is>
      </c>
      <c r="F10" t="inlineStr">
        <is>
          <t>Amit Shete</t>
        </is>
      </c>
      <c r="G10" t="inlineStr">
        <is>
          <t>Open</t>
        </is>
      </c>
      <c r="H10" t="inlineStr"/>
      <c r="I10" t="inlineStr">
        <is>
          <t>P2</t>
        </is>
      </c>
      <c r="J10" s="29" t="n">
        <v>46097</v>
      </c>
      <c r="L10" s="29" t="n">
        <v>46126</v>
      </c>
      <c r="M10" t="inlineStr">
        <is>
          <t>sprint-Gonzalo</t>
        </is>
      </c>
      <c r="N10" s="11" t="n">
        <v>0</v>
      </c>
      <c r="O10" s="11" t="n">
        <v>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Automation</t>
        </is>
      </c>
      <c r="B11" s="28" t="inlineStr">
        <is>
          <t>FILTER-12622</t>
        </is>
      </c>
      <c r="C11" s="20" t="inlineStr">
        <is>
          <t>QA- Policy Map Import not showing policy names | San Ramon</t>
        </is>
      </c>
      <c r="D11" t="inlineStr">
        <is>
          <t>FILTER-12619</t>
        </is>
      </c>
      <c r="E11" t="inlineStr">
        <is>
          <t>Escape Defect</t>
        </is>
      </c>
      <c r="F11" t="inlineStr">
        <is>
          <t>Amit Shete</t>
        </is>
      </c>
      <c r="G11" t="inlineStr">
        <is>
          <t>Scripting in progress</t>
        </is>
      </c>
      <c r="H11" t="inlineStr"/>
      <c r="I11" t="inlineStr">
        <is>
          <t>P1</t>
        </is>
      </c>
      <c r="J11" s="29" t="n">
        <v>46104</v>
      </c>
      <c r="L11" s="29" t="n">
        <v>46138</v>
      </c>
      <c r="M11" t="inlineStr">
        <is>
          <t>sprint-Gonzalo</t>
        </is>
      </c>
      <c r="N11" s="11" t="n">
        <v>0</v>
      </c>
      <c r="O11" s="11" t="n">
        <v>3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Automation</t>
        </is>
      </c>
      <c r="B12" s="28" t="inlineStr">
        <is>
          <t>FILTER-12823</t>
        </is>
      </c>
      <c r="C12" s="20" t="inlineStr">
        <is>
          <t>QA- Windows Extn : TS - Safe search is not getting applied immediately on google search engine(Ensure that api response shows  SS enabled)</t>
        </is>
      </c>
      <c r="D12" t="inlineStr">
        <is>
          <t>FILTER-12820</t>
        </is>
      </c>
      <c r="E12" t="inlineStr">
        <is>
          <t>Defect</t>
        </is>
      </c>
      <c r="F12" t="inlineStr">
        <is>
          <t>Amit Shete</t>
        </is>
      </c>
      <c r="G12" t="inlineStr">
        <is>
          <t>Open</t>
        </is>
      </c>
      <c r="H12" t="inlineStr"/>
      <c r="I12" t="inlineStr">
        <is>
          <t>P2</t>
        </is>
      </c>
      <c r="J12" s="29" t="n">
        <v>46108</v>
      </c>
      <c r="L12" s="29" t="n">
        <v>46126</v>
      </c>
      <c r="M12" t="inlineStr">
        <is>
          <t>sprint-Gonzalo</t>
        </is>
      </c>
      <c r="N12" s="11" t="n">
        <v>0</v>
      </c>
      <c r="O12" s="11" t="n">
        <v>0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Automation</t>
        </is>
      </c>
      <c r="B13" s="28" t="inlineStr">
        <is>
          <t>FILTER-12526</t>
        </is>
      </c>
      <c r="C13" s="20" t="inlineStr">
        <is>
          <t>Automation Task for Chrome Browser</t>
        </is>
      </c>
      <c r="D13" t="inlineStr">
        <is>
          <t>FILTER-12207</t>
        </is>
      </c>
      <c r="E13" t="inlineStr">
        <is>
          <t>Task</t>
        </is>
      </c>
      <c r="F13" t="inlineStr">
        <is>
          <t>Amol Mithari</t>
        </is>
      </c>
      <c r="G13" t="inlineStr">
        <is>
          <t>Scripting in progress</t>
        </is>
      </c>
      <c r="H13" t="inlineStr"/>
      <c r="I13" t="inlineStr">
        <is>
          <t>P3</t>
        </is>
      </c>
      <c r="J13" s="29" t="n">
        <v>46098</v>
      </c>
      <c r="L13" s="29" t="n">
        <v>46126</v>
      </c>
      <c r="M13" t="inlineStr">
        <is>
          <t>sprint-Gonzalo</t>
        </is>
      </c>
      <c r="N13" s="11" t="n">
        <v>31</v>
      </c>
      <c r="O13" s="11" t="n">
        <v>40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Automation</t>
        </is>
      </c>
      <c r="B14" s="28" t="inlineStr">
        <is>
          <t>FILTER-12542</t>
        </is>
      </c>
      <c r="C14" s="20" t="inlineStr">
        <is>
          <t>Automation -Extension Bypass - Opening new tab</t>
        </is>
      </c>
      <c r="D14" t="inlineStr">
        <is>
          <t>FILTER-12476</t>
        </is>
      </c>
      <c r="E14" t="inlineStr">
        <is>
          <t>Escape Defect</t>
        </is>
      </c>
      <c r="F14" t="inlineStr">
        <is>
          <t>Amol Mithari</t>
        </is>
      </c>
      <c r="G14" t="inlineStr">
        <is>
          <t>Open</t>
        </is>
      </c>
      <c r="H14" t="inlineStr"/>
      <c r="I14" t="inlineStr">
        <is>
          <t>P1</t>
        </is>
      </c>
      <c r="J14" s="29" t="n">
        <v>46098</v>
      </c>
      <c r="L14" s="29" t="n">
        <v>46126</v>
      </c>
      <c r="M14" t="inlineStr">
        <is>
          <t>sprint-Gonzalo</t>
        </is>
      </c>
      <c r="N14" s="11" t="n">
        <v>0</v>
      </c>
      <c r="O14" s="11" t="n">
        <v>2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Automation</t>
        </is>
      </c>
      <c r="B15" s="28" t="inlineStr">
        <is>
          <t>FILTER-12984</t>
        </is>
      </c>
      <c r="C15" s="20" t="inlineStr">
        <is>
          <t>QA- Win extn : TS, Internal IP is not getting logged on the UI</t>
        </is>
      </c>
      <c r="D15" t="inlineStr">
        <is>
          <t>FILTER-12981</t>
        </is>
      </c>
      <c r="E15" t="inlineStr">
        <is>
          <t>Defect</t>
        </is>
      </c>
      <c r="F15" t="inlineStr">
        <is>
          <t>Amol Mithari</t>
        </is>
      </c>
      <c r="G15" t="inlineStr">
        <is>
          <t>Open</t>
        </is>
      </c>
      <c r="H15" t="inlineStr"/>
      <c r="I15" t="inlineStr">
        <is>
          <t>P3</t>
        </is>
      </c>
      <c r="J15" s="29" t="n">
        <v>46111</v>
      </c>
      <c r="L15" s="29" t="n">
        <v>46126</v>
      </c>
      <c r="M15" t="inlineStr">
        <is>
          <t>sprint-Gonzalo</t>
        </is>
      </c>
      <c r="N15" s="11" t="n">
        <v>0</v>
      </c>
      <c r="O15" s="11" t="n">
        <v>3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Dev</t>
        </is>
      </c>
      <c r="B16" s="28" t="inlineStr">
        <is>
          <t>FILTER-12620</t>
        </is>
      </c>
      <c r="C16" s="20" t="inlineStr">
        <is>
          <t>DEV - Policy Map Import not showing policy names | San Ramon</t>
        </is>
      </c>
      <c r="D16" t="inlineStr">
        <is>
          <t>FILTER-12619</t>
        </is>
      </c>
      <c r="E16" t="inlineStr">
        <is>
          <t>Escape Defect</t>
        </is>
      </c>
      <c r="F16" t="inlineStr">
        <is>
          <t>Arun Thakur</t>
        </is>
      </c>
      <c r="G16" t="inlineStr">
        <is>
          <t>Open</t>
        </is>
      </c>
      <c r="H16" t="inlineStr"/>
      <c r="I16" t="inlineStr">
        <is>
          <t>P1</t>
        </is>
      </c>
      <c r="J16" s="29" t="n">
        <v>46104</v>
      </c>
      <c r="L16" s="29" t="n">
        <v>46138</v>
      </c>
      <c r="M16" t="inlineStr">
        <is>
          <t>sprint-Gonzalo</t>
        </is>
      </c>
      <c r="N16" s="11" t="n">
        <v>0</v>
      </c>
      <c r="O16" s="11" t="n">
        <v>0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Dev</t>
        </is>
      </c>
      <c r="B17" s="28" t="inlineStr">
        <is>
          <t>FILTER-13826</t>
        </is>
      </c>
      <c r="C17" s="20" t="inlineStr">
        <is>
          <t>Dev Task for Beta flag</t>
        </is>
      </c>
      <c r="D17" t="inlineStr">
        <is>
          <t>FILTER-12119</t>
        </is>
      </c>
      <c r="E17" t="inlineStr">
        <is>
          <t>Escape Defect</t>
        </is>
      </c>
      <c r="F17" t="inlineStr">
        <is>
          <t>Arun Thakur</t>
        </is>
      </c>
      <c r="G17" t="inlineStr">
        <is>
          <t>Open</t>
        </is>
      </c>
      <c r="H17" t="inlineStr"/>
      <c r="I17" t="inlineStr">
        <is>
          <t>P1</t>
        </is>
      </c>
      <c r="J17" s="29" t="n">
        <v>46140</v>
      </c>
      <c r="L17" s="29" t="n">
        <v>46140</v>
      </c>
      <c r="M17" t="inlineStr">
        <is>
          <t>sprint-Gonzalo</t>
        </is>
      </c>
      <c r="N17" s="11" t="n">
        <v>0</v>
      </c>
      <c r="O17" s="11" t="n">
        <v>0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QA</t>
        </is>
      </c>
      <c r="B18" s="28" t="inlineStr">
        <is>
          <t>FILTER-12105</t>
        </is>
      </c>
      <c r="C18" s="20" t="inlineStr">
        <is>
          <t>QA- JS/TS (Chromebook) Extension – Blocked Website Loads on First Browser Launch When Opened via Bookmark (Iframe Not Blocked)</t>
        </is>
      </c>
      <c r="D18" t="inlineStr">
        <is>
          <t>FILTER-12103</t>
        </is>
      </c>
      <c r="E18" t="inlineStr">
        <is>
          <t>Escape Defect</t>
        </is>
      </c>
      <c r="F18" t="inlineStr">
        <is>
          <t>Ayesha Kamde</t>
        </is>
      </c>
      <c r="G18" t="inlineStr">
        <is>
          <t>Open</t>
        </is>
      </c>
      <c r="H18" t="inlineStr"/>
      <c r="I18" t="inlineStr">
        <is>
          <t>P3</t>
        </is>
      </c>
      <c r="J18" s="29" t="n">
        <v>46072</v>
      </c>
      <c r="L18" s="29" t="n">
        <v>46126</v>
      </c>
      <c r="M18" t="inlineStr">
        <is>
          <t>sprint-Gonzalo</t>
        </is>
      </c>
      <c r="N18" s="11" t="n">
        <v>0</v>
      </c>
      <c r="O18" s="11" t="n">
        <v>0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FILTER-12178</t>
        </is>
      </c>
      <c r="C19" s="20" t="inlineStr">
        <is>
          <t>Verify about:blank loophole fix – block/redirect unless opened from allowed site</t>
        </is>
      </c>
      <c r="D19" t="inlineStr">
        <is>
          <t>FILTER-12119</t>
        </is>
      </c>
      <c r="E19" t="inlineStr">
        <is>
          <t>Escape Defect</t>
        </is>
      </c>
      <c r="F19" t="inlineStr">
        <is>
          <t>Ayesha Kamde</t>
        </is>
      </c>
      <c r="G19" t="inlineStr">
        <is>
          <t>Open</t>
        </is>
      </c>
      <c r="H19" t="inlineStr"/>
      <c r="I19" t="inlineStr">
        <is>
          <t>P1</t>
        </is>
      </c>
      <c r="J19" s="29" t="n">
        <v>46078</v>
      </c>
      <c r="L19" s="29" t="n">
        <v>46126</v>
      </c>
      <c r="M19" t="inlineStr">
        <is>
          <t>sprint-Gonzalo</t>
        </is>
      </c>
      <c r="N19" s="11" t="n">
        <v>0</v>
      </c>
      <c r="O19" s="11" t="n">
        <v>0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FILTER-12449</t>
        </is>
      </c>
      <c r="C20" s="20" t="inlineStr">
        <is>
          <t xml:space="preserve">QA- Site not loading correctly with extension </t>
        </is>
      </c>
      <c r="D20" t="inlineStr">
        <is>
          <t>FILTER-12447</t>
        </is>
      </c>
      <c r="E20" t="inlineStr">
        <is>
          <t>Escape Defect</t>
        </is>
      </c>
      <c r="F20" t="inlineStr">
        <is>
          <t>Ayesha Kamde</t>
        </is>
      </c>
      <c r="G20" t="inlineStr">
        <is>
          <t>Open</t>
        </is>
      </c>
      <c r="H20" t="inlineStr"/>
      <c r="I20" t="inlineStr">
        <is>
          <t>P3</t>
        </is>
      </c>
      <c r="J20" s="29" t="n">
        <v>46093</v>
      </c>
      <c r="L20" s="29" t="n">
        <v>46126</v>
      </c>
      <c r="M20" t="inlineStr">
        <is>
          <t>sprint-Gonzalo</t>
        </is>
      </c>
      <c r="N20" s="11" t="n">
        <v>0</v>
      </c>
      <c r="O20" s="11" t="n">
        <v>0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FILTER-12493</t>
        </is>
      </c>
      <c r="C21" s="20" t="inlineStr">
        <is>
          <t>QA- In prod: Yes, (PHP) – Default Securly logo not visible on blocked page when no custom logo is configured via support tool or general settings</t>
        </is>
      </c>
      <c r="D21" t="inlineStr">
        <is>
          <t>FILTER-12491</t>
        </is>
      </c>
      <c r="E21" t="inlineStr">
        <is>
          <t>Escape Defect</t>
        </is>
      </c>
      <c r="F21" t="inlineStr">
        <is>
          <t>Ayesha Kamde</t>
        </is>
      </c>
      <c r="G21" t="inlineStr">
        <is>
          <t>Open</t>
        </is>
      </c>
      <c r="H21" t="inlineStr"/>
      <c r="I21" t="inlineStr">
        <is>
          <t>P2</t>
        </is>
      </c>
      <c r="J21" s="29" t="n">
        <v>46097</v>
      </c>
      <c r="L21" s="29" t="n">
        <v>46126</v>
      </c>
      <c r="M21" t="inlineStr">
        <is>
          <t>sprint-Gonzalo</t>
        </is>
      </c>
      <c r="N21" s="11" t="n">
        <v>0</v>
      </c>
      <c r="O21" s="11" t="n">
        <v>2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FILTER-12541</t>
        </is>
      </c>
      <c r="C22" s="20" t="inlineStr">
        <is>
          <t>QA -Extension Bypass - Opening new tab - Fix Test</t>
        </is>
      </c>
      <c r="D22" t="inlineStr">
        <is>
          <t>FILTER-12476</t>
        </is>
      </c>
      <c r="E22" t="inlineStr">
        <is>
          <t>Escape Defect</t>
        </is>
      </c>
      <c r="F22" t="inlineStr">
        <is>
          <t>Ayesha Kamde</t>
        </is>
      </c>
      <c r="G22" t="inlineStr">
        <is>
          <t>Ready for QA</t>
        </is>
      </c>
      <c r="H22" t="inlineStr"/>
      <c r="I22" t="inlineStr">
        <is>
          <t>P1</t>
        </is>
      </c>
      <c r="J22" s="29" t="n">
        <v>46098</v>
      </c>
      <c r="L22" s="29" t="n">
        <v>46140</v>
      </c>
      <c r="M22" t="inlineStr">
        <is>
          <t>sprint-Gonzalo</t>
        </is>
      </c>
      <c r="N22" s="11" t="n">
        <v>0</v>
      </c>
      <c r="O22" s="11" t="n">
        <v>5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Task</t>
        </is>
      </c>
      <c r="B23" s="28" t="inlineStr">
        <is>
          <t>FILTER-10604</t>
        </is>
      </c>
      <c r="C23" s="20" t="inlineStr">
        <is>
          <t>Placeholder task to track the efforts used for Vanta tool task completion</t>
        </is>
      </c>
      <c r="D23" t="inlineStr"/>
      <c r="E23" t="inlineStr"/>
      <c r="F23" t="inlineStr">
        <is>
          <t>Harsh Verma</t>
        </is>
      </c>
      <c r="G23" t="inlineStr">
        <is>
          <t>In Progress</t>
        </is>
      </c>
      <c r="H23" t="inlineStr"/>
      <c r="I23" t="inlineStr">
        <is>
          <t>P3</t>
        </is>
      </c>
      <c r="J23" s="29" t="n">
        <v>45964</v>
      </c>
      <c r="L23" s="29" t="n">
        <v>46139</v>
      </c>
      <c r="M23" t="inlineStr">
        <is>
          <t>sprint-Gonzalo</t>
        </is>
      </c>
      <c r="N23" s="11" t="n">
        <v>0</v>
      </c>
      <c r="O23" s="11" t="n">
        <v>8</v>
      </c>
      <c r="P23" t="inlineStr">
        <is>
          <t>FILTER</t>
        </is>
      </c>
      <c r="Q23" t="inlineStr">
        <is>
          <t>unplanned-sprint</t>
        </is>
      </c>
      <c r="R23" t="inlineStr"/>
      <c r="S23" t="inlineStr"/>
    </row>
    <row r="24">
      <c r="A24" t="inlineStr">
        <is>
          <t>Task</t>
        </is>
      </c>
      <c r="B24" s="28" t="inlineStr">
        <is>
          <t>FILTER-11697</t>
        </is>
      </c>
      <c r="C24" s="20" t="inlineStr">
        <is>
          <t>Extension of FILTER-11605</t>
        </is>
      </c>
      <c r="D24" t="inlineStr"/>
      <c r="E24" t="inlineStr"/>
      <c r="F24" t="inlineStr">
        <is>
          <t>Harsh Verma</t>
        </is>
      </c>
      <c r="G24" t="inlineStr">
        <is>
          <t>In Progress</t>
        </is>
      </c>
      <c r="H24" t="inlineStr"/>
      <c r="I24" t="inlineStr">
        <is>
          <t>P3</t>
        </is>
      </c>
      <c r="J24" s="29" t="n">
        <v>46041</v>
      </c>
      <c r="L24" s="29" t="n">
        <v>46139</v>
      </c>
      <c r="M24" t="inlineStr">
        <is>
          <t>sprint-Gonzalo</t>
        </is>
      </c>
      <c r="N24" s="11" t="n">
        <v>0</v>
      </c>
      <c r="O24" s="11" t="n">
        <v>24</v>
      </c>
      <c r="P24" t="inlineStr">
        <is>
          <t>FILTER</t>
        </is>
      </c>
      <c r="Q24" t="inlineStr">
        <is>
          <t>unplanned-sprint</t>
        </is>
      </c>
      <c r="R24" t="inlineStr"/>
      <c r="S24" t="inlineStr"/>
    </row>
    <row r="25">
      <c r="A25" t="inlineStr">
        <is>
          <t>Dev</t>
        </is>
      </c>
      <c r="B25" s="28" t="inlineStr">
        <is>
          <t>FILTER-11843</t>
        </is>
      </c>
      <c r="C25" s="20" t="inlineStr">
        <is>
          <t>SafetyConsole CustomList API - Old access tokens remain valid after new token generation</t>
        </is>
      </c>
      <c r="D25" t="inlineStr">
        <is>
          <t>FILTER-11687</t>
        </is>
      </c>
      <c r="E25" t="inlineStr">
        <is>
          <t>Defect</t>
        </is>
      </c>
      <c r="F25" t="inlineStr">
        <is>
          <t>Prateek Fotedar</t>
        </is>
      </c>
      <c r="G25" t="inlineStr">
        <is>
          <t>Reopened</t>
        </is>
      </c>
      <c r="H25" t="inlineStr"/>
      <c r="I25" t="inlineStr">
        <is>
          <t>P2</t>
        </is>
      </c>
      <c r="J25" s="29" t="n">
        <v>46051</v>
      </c>
      <c r="L25" s="29" t="n">
        <v>46140</v>
      </c>
      <c r="M25" t="inlineStr">
        <is>
          <t>sprint-Gonzalo</t>
        </is>
      </c>
      <c r="N25" s="11" t="n">
        <v>12</v>
      </c>
      <c r="O25" s="11" t="n">
        <v>12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Dev</t>
        </is>
      </c>
      <c r="B26" s="28" t="inlineStr">
        <is>
          <t>FILTER-11872</t>
        </is>
      </c>
      <c r="C26" s="20" t="inlineStr">
        <is>
          <t>SafetyConsole CustomList API - Token should be invalidated when Filter Product is disabled</t>
        </is>
      </c>
      <c r="D26" t="inlineStr">
        <is>
          <t>FILTER-11688</t>
        </is>
      </c>
      <c r="E26" t="inlineStr">
        <is>
          <t>Escape Defect</t>
        </is>
      </c>
      <c r="F26" t="inlineStr">
        <is>
          <t>Prateek Fotedar</t>
        </is>
      </c>
      <c r="G26" t="inlineStr">
        <is>
          <t>Reopened</t>
        </is>
      </c>
      <c r="H26" t="inlineStr"/>
      <c r="I26" t="inlineStr">
        <is>
          <t>P3</t>
        </is>
      </c>
      <c r="J26" s="29" t="n">
        <v>46051</v>
      </c>
      <c r="L26" s="29" t="n">
        <v>46140</v>
      </c>
      <c r="M26" t="inlineStr">
        <is>
          <t>sprint-Gonzalo</t>
        </is>
      </c>
      <c r="N26" s="11" t="n">
        <v>1</v>
      </c>
      <c r="O26" s="11" t="n">
        <v>8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Dev</t>
        </is>
      </c>
      <c r="B27" s="28" t="inlineStr">
        <is>
          <t>FILTER-12492</t>
        </is>
      </c>
      <c r="C27" s="20" t="inlineStr">
        <is>
          <t>DEV - In prod: Yes, (PHP) – Default Securly logo not visible on blocked page when no custom logo is configured via support tool or general settings</t>
        </is>
      </c>
      <c r="D27" t="inlineStr">
        <is>
          <t>FILTER-12491</t>
        </is>
      </c>
      <c r="E27" t="inlineStr">
        <is>
          <t>Escape Defect</t>
        </is>
      </c>
      <c r="F27" t="inlineStr">
        <is>
          <t>Prateek Fotedar</t>
        </is>
      </c>
      <c r="G27" t="inlineStr">
        <is>
          <t>Open</t>
        </is>
      </c>
      <c r="H27" t="inlineStr"/>
      <c r="I27" t="inlineStr">
        <is>
          <t>P2</t>
        </is>
      </c>
      <c r="J27" s="29" t="n">
        <v>46097</v>
      </c>
      <c r="L27" s="29" t="n">
        <v>46126</v>
      </c>
      <c r="M27" t="inlineStr">
        <is>
          <t>sprint-Gonzalo</t>
        </is>
      </c>
      <c r="N27" s="11" t="n">
        <v>0</v>
      </c>
      <c r="O27" s="11" t="n">
        <v>0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Dev</t>
        </is>
      </c>
      <c r="B28" s="28" t="inlineStr">
        <is>
          <t>FILTER-12104</t>
        </is>
      </c>
      <c r="C28" s="20" t="inlineStr">
        <is>
          <t>DEV - JS/TS (Chromebook) Extension – Blocked Website Loads on First Browser Launch When Opened via Bookmark (Iframe Not Blocked)</t>
        </is>
      </c>
      <c r="D28" t="inlineStr">
        <is>
          <t>FILTER-12103</t>
        </is>
      </c>
      <c r="E28" t="inlineStr">
        <is>
          <t>Escape Defect</t>
        </is>
      </c>
      <c r="F28" t="inlineStr">
        <is>
          <t>Pratik Tiwari</t>
        </is>
      </c>
      <c r="G28" t="inlineStr">
        <is>
          <t>Open</t>
        </is>
      </c>
      <c r="H28" t="inlineStr"/>
      <c r="I28" t="inlineStr">
        <is>
          <t>P3</t>
        </is>
      </c>
      <c r="J28" s="29" t="n">
        <v>46072</v>
      </c>
      <c r="L28" s="29" t="n">
        <v>46126</v>
      </c>
      <c r="M28" t="inlineStr">
        <is>
          <t>sprint-Gonzalo</t>
        </is>
      </c>
      <c r="N28" s="11" t="n">
        <v>0</v>
      </c>
      <c r="O28" s="11" t="n">
        <v>0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Dev</t>
        </is>
      </c>
      <c r="B29" s="28" t="inlineStr">
        <is>
          <t>FILTER-12982</t>
        </is>
      </c>
      <c r="C29" s="20" t="inlineStr">
        <is>
          <t>DEV - Win extn : TS, Internal IP is not getting logged on the UI</t>
        </is>
      </c>
      <c r="D29" t="inlineStr">
        <is>
          <t>FILTER-12981</t>
        </is>
      </c>
      <c r="E29" t="inlineStr">
        <is>
          <t>Defect</t>
        </is>
      </c>
      <c r="F29" t="inlineStr">
        <is>
          <t>Pratik Tiwari</t>
        </is>
      </c>
      <c r="G29" t="inlineStr">
        <is>
          <t>Open</t>
        </is>
      </c>
      <c r="H29" t="inlineStr"/>
      <c r="I29" t="inlineStr">
        <is>
          <t>P3</t>
        </is>
      </c>
      <c r="J29" s="29" t="n">
        <v>46111</v>
      </c>
      <c r="L29" s="29" t="n">
        <v>46126</v>
      </c>
      <c r="M29" t="inlineStr">
        <is>
          <t>sprint-Gonzalo</t>
        </is>
      </c>
      <c r="N29" s="11" t="n">
        <v>0</v>
      </c>
      <c r="O29" s="11" t="n">
        <v>0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Dev</t>
        </is>
      </c>
      <c r="B30" s="28" t="inlineStr">
        <is>
          <t>FILTER-13040</t>
        </is>
      </c>
      <c r="C30" s="20" t="inlineStr">
        <is>
          <t xml:space="preserve">DEV - Win Ext : TS, Repeated searches on bing.com is not brokering </t>
        </is>
      </c>
      <c r="D30" t="inlineStr">
        <is>
          <t>FILTER-13039</t>
        </is>
      </c>
      <c r="E30" t="inlineStr">
        <is>
          <t>Defect</t>
        </is>
      </c>
      <c r="F30" t="inlineStr">
        <is>
          <t>Pratik Tiwari</t>
        </is>
      </c>
      <c r="G30" t="inlineStr">
        <is>
          <t>Open</t>
        </is>
      </c>
      <c r="H30" t="inlineStr"/>
      <c r="I30" t="inlineStr">
        <is>
          <t>P2</t>
        </is>
      </c>
      <c r="J30" s="29" t="n">
        <v>46112</v>
      </c>
      <c r="L30" s="29" t="n">
        <v>46127</v>
      </c>
      <c r="M30" t="inlineStr">
        <is>
          <t>sprint-Gonzalo</t>
        </is>
      </c>
      <c r="N30" s="11" t="n">
        <v>0</v>
      </c>
      <c r="O30" s="11" t="n">
        <v>6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Dev</t>
        </is>
      </c>
      <c r="B31" s="28" t="inlineStr">
        <is>
          <t>FILTER-13319</t>
        </is>
      </c>
      <c r="C31" s="20" t="inlineStr">
        <is>
          <t>DEV - Security issues with SSO access token and JWT created for GO broker - Part 1</t>
        </is>
      </c>
      <c r="D31" t="inlineStr">
        <is>
          <t>FILTER-13318</t>
        </is>
      </c>
      <c r="E31" t="inlineStr">
        <is>
          <t>Task</t>
        </is>
      </c>
      <c r="F31" t="inlineStr">
        <is>
          <t>Sagar Satpute</t>
        </is>
      </c>
      <c r="G31" t="inlineStr">
        <is>
          <t>Open</t>
        </is>
      </c>
      <c r="H31" t="inlineStr"/>
      <c r="I31" t="inlineStr">
        <is>
          <t>P3</t>
        </is>
      </c>
      <c r="J31" s="29" t="n">
        <v>46120</v>
      </c>
      <c r="L31" s="29" t="n">
        <v>46126</v>
      </c>
      <c r="M31" t="inlineStr">
        <is>
          <t>sprint-Gonzalo</t>
        </is>
      </c>
      <c r="N31" s="11" t="n">
        <v>0</v>
      </c>
      <c r="O31" s="11" t="n">
        <v>0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Dev</t>
        </is>
      </c>
      <c r="B32" s="28" t="inlineStr">
        <is>
          <t>PTGM-663</t>
        </is>
      </c>
      <c r="C32" s="20" t="inlineStr">
        <is>
          <t>Fix linter errors in www-filter repo</t>
        </is>
      </c>
      <c r="D32" t="inlineStr">
        <is>
          <t>PTGM-666</t>
        </is>
      </c>
      <c r="E32" t="inlineStr">
        <is>
          <t>Story</t>
        </is>
      </c>
      <c r="F32" t="inlineStr">
        <is>
          <t>Sagar Satpute</t>
        </is>
      </c>
      <c r="G32" t="inlineStr">
        <is>
          <t>Open</t>
        </is>
      </c>
      <c r="H32" t="inlineStr"/>
      <c r="I32" t="inlineStr">
        <is>
          <t>P2</t>
        </is>
      </c>
      <c r="J32" s="29" t="n">
        <v>46027</v>
      </c>
      <c r="L32" s="29" t="n">
        <v>46126</v>
      </c>
      <c r="M32" t="inlineStr">
        <is>
          <t>sprint-Gonzalo</t>
        </is>
      </c>
      <c r="N32" s="11" t="n">
        <v>0</v>
      </c>
      <c r="O32" s="11" t="n">
        <v>0</v>
      </c>
      <c r="P32" t="inlineStr">
        <is>
          <t>PTGM</t>
        </is>
      </c>
      <c r="Q32" t="inlineStr"/>
      <c r="R32" t="inlineStr"/>
      <c r="S32" t="inlineStr"/>
    </row>
    <row r="33">
      <c r="A33" t="inlineStr">
        <is>
          <t>QA</t>
        </is>
      </c>
      <c r="B33" s="28" t="inlineStr">
        <is>
          <t>FILTER-13320</t>
        </is>
      </c>
      <c r="C33" s="20" t="inlineStr">
        <is>
          <t>QA- Security issues with SSO access token and JWT created for GO broker - Part 1</t>
        </is>
      </c>
      <c r="D33" t="inlineStr">
        <is>
          <t>FILTER-13318</t>
        </is>
      </c>
      <c r="E33" t="inlineStr">
        <is>
          <t>Task</t>
        </is>
      </c>
      <c r="F33" t="inlineStr">
        <is>
          <t>Surabhi Choudhary</t>
        </is>
      </c>
      <c r="G33" t="inlineStr">
        <is>
          <t>Open</t>
        </is>
      </c>
      <c r="H33" t="inlineStr"/>
      <c r="I33" t="inlineStr">
        <is>
          <t>P3</t>
        </is>
      </c>
      <c r="J33" s="29" t="n">
        <v>46120</v>
      </c>
      <c r="L33" s="29" t="n">
        <v>46126</v>
      </c>
      <c r="M33" t="inlineStr">
        <is>
          <t>sprint-Gonzalo</t>
        </is>
      </c>
      <c r="N33" s="11" t="n">
        <v>0</v>
      </c>
      <c r="O33" s="11" t="n">
        <v>0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Task</t>
        </is>
      </c>
      <c r="B34" s="28" t="inlineStr">
        <is>
          <t>FDSE-155</t>
        </is>
      </c>
      <c r="C34" s="20" t="inlineStr">
        <is>
          <t>Implementation for timepicker component</t>
        </is>
      </c>
      <c r="D34" t="inlineStr">
        <is>
          <t>FDSE-136</t>
        </is>
      </c>
      <c r="E34" t="inlineStr">
        <is>
          <t>Epic</t>
        </is>
      </c>
      <c r="F34" t="inlineStr">
        <is>
          <t>Swaroop Chavhan</t>
        </is>
      </c>
      <c r="G34" t="inlineStr">
        <is>
          <t>Open</t>
        </is>
      </c>
      <c r="H34" t="inlineStr"/>
      <c r="I34" t="inlineStr">
        <is>
          <t>P3</t>
        </is>
      </c>
      <c r="J34" s="29" t="n">
        <v>46051</v>
      </c>
      <c r="L34" s="29" t="n">
        <v>46140</v>
      </c>
      <c r="M34" t="inlineStr">
        <is>
          <t>sprint-Gonzalo</t>
        </is>
      </c>
      <c r="N34" s="11" t="n">
        <v>0</v>
      </c>
      <c r="O34" s="11" t="n">
        <v>32</v>
      </c>
      <c r="P34" t="inlineStr">
        <is>
          <t>FDSE</t>
        </is>
      </c>
      <c r="Q34" t="inlineStr">
        <is>
          <t>product-filter</t>
        </is>
      </c>
      <c r="R34" t="inlineStr"/>
      <c r="S34" t="inlineStr"/>
    </row>
    <row r="35">
      <c r="A35" t="inlineStr">
        <is>
          <t>Sub-task</t>
        </is>
      </c>
      <c r="B35" s="28" t="inlineStr">
        <is>
          <t>FDSE-163</t>
        </is>
      </c>
      <c r="C35" s="20" t="inlineStr">
        <is>
          <t>Dev Task - Implementation for timepicker component</t>
        </is>
      </c>
      <c r="D35" t="inlineStr">
        <is>
          <t>FDSE-155</t>
        </is>
      </c>
      <c r="E35" t="inlineStr">
        <is>
          <t>Task</t>
        </is>
      </c>
      <c r="F35" t="inlineStr">
        <is>
          <t>Swaroop Chavhan</t>
        </is>
      </c>
      <c r="G35" t="inlineStr">
        <is>
          <t>Open</t>
        </is>
      </c>
      <c r="H35" t="inlineStr"/>
      <c r="I35" t="inlineStr">
        <is>
          <t>P3</t>
        </is>
      </c>
      <c r="J35" s="29" t="n">
        <v>46075</v>
      </c>
      <c r="L35" s="29" t="n">
        <v>46126</v>
      </c>
      <c r="M35" t="inlineStr">
        <is>
          <t>sprint-Gonzalo</t>
        </is>
      </c>
      <c r="N35" s="11" t="n">
        <v>0</v>
      </c>
      <c r="O35" s="11" t="n">
        <v>0</v>
      </c>
      <c r="P35" t="inlineStr">
        <is>
          <t>FDSE</t>
        </is>
      </c>
      <c r="Q35" t="inlineStr"/>
      <c r="R35" t="inlineStr"/>
      <c r="S35" t="inlineStr"/>
    </row>
    <row r="36">
      <c r="A36" t="inlineStr">
        <is>
          <t>Task</t>
        </is>
      </c>
      <c r="B36" s="28" t="inlineStr">
        <is>
          <t>FDSE-164</t>
        </is>
      </c>
      <c r="C36" s="20" t="inlineStr">
        <is>
          <t>Search with auto-complete component enhancement</t>
        </is>
      </c>
      <c r="D36" t="inlineStr">
        <is>
          <t>FDSE-174</t>
        </is>
      </c>
      <c r="E36" t="inlineStr">
        <is>
          <t>Epic</t>
        </is>
      </c>
      <c r="F36" t="inlineStr">
        <is>
          <t>Swaroop Chavhan</t>
        </is>
      </c>
      <c r="G36" t="inlineStr">
        <is>
          <t>Open</t>
        </is>
      </c>
      <c r="H36" t="inlineStr"/>
      <c r="I36" t="inlineStr">
        <is>
          <t>P3</t>
        </is>
      </c>
      <c r="J36" s="29" t="n">
        <v>46079</v>
      </c>
      <c r="L36" s="29" t="n">
        <v>46140</v>
      </c>
      <c r="M36" t="inlineStr">
        <is>
          <t>sprint-Gonzalo</t>
        </is>
      </c>
      <c r="N36" s="11" t="n">
        <v>0</v>
      </c>
      <c r="O36" s="11" t="n">
        <v>20</v>
      </c>
      <c r="P36" t="inlineStr">
        <is>
          <t>FDSE</t>
        </is>
      </c>
      <c r="Q36" t="inlineStr">
        <is>
          <t>Capitalized-Feature, product-filter</t>
        </is>
      </c>
      <c r="R36" t="inlineStr"/>
      <c r="S36" t="inlineStr"/>
    </row>
    <row r="37">
      <c r="A37" t="inlineStr">
        <is>
          <t>Story</t>
        </is>
      </c>
      <c r="B37" s="28" t="inlineStr">
        <is>
          <t>FILTER-12473</t>
        </is>
      </c>
      <c r="C37" s="20" t="inlineStr">
        <is>
          <t>Filter + Aware Accessibility - Mat tree</t>
        </is>
      </c>
      <c r="D37" t="inlineStr"/>
      <c r="E37" t="inlineStr"/>
      <c r="F37" t="inlineStr">
        <is>
          <t>Swaroop Chavhan</t>
        </is>
      </c>
      <c r="G37" t="inlineStr">
        <is>
          <t>Backlog</t>
        </is>
      </c>
      <c r="H37" t="inlineStr"/>
      <c r="I37" t="inlineStr">
        <is>
          <t>P3</t>
        </is>
      </c>
      <c r="J37" s="29" t="n">
        <v>46094</v>
      </c>
      <c r="L37" s="29" t="n">
        <v>46133</v>
      </c>
      <c r="M37" t="inlineStr">
        <is>
          <t>sprint-Gonzalo</t>
        </is>
      </c>
      <c r="N37" s="11" t="n">
        <v>0</v>
      </c>
      <c r="O37" s="11" t="n">
        <v>0</v>
      </c>
      <c r="P37" t="inlineStr">
        <is>
          <t>FILTER</t>
        </is>
      </c>
      <c r="Q37" t="inlineStr"/>
      <c r="R37" t="inlineStr"/>
      <c r="S37" t="inlineStr"/>
    </row>
  </sheetData>
  <autoFilter ref="A1:S3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Defect</t>
        </is>
      </c>
      <c r="B2" s="23" t="inlineStr">
        <is>
          <t>FILTER-12150</t>
        </is>
      </c>
      <c r="C2" s="24" t="inlineStr">
        <is>
          <t>JS (All Extensions) Some sites opened from search link from Google AI mode does not start image blurring right away</t>
        </is>
      </c>
      <c r="D2" s="22" t="inlineStr"/>
      <c r="E2" s="22" t="inlineStr"/>
      <c r="F2" s="22" t="inlineStr">
        <is>
          <t>Arun Thakur</t>
        </is>
      </c>
      <c r="G2" s="22" t="inlineStr">
        <is>
          <t>Open</t>
        </is>
      </c>
      <c r="H2" s="22" t="inlineStr"/>
      <c r="I2" s="22" t="inlineStr">
        <is>
          <t>P2</t>
        </is>
      </c>
      <c r="J2" s="25" t="n">
        <v>46077</v>
      </c>
      <c r="K2" s="22" t="n"/>
      <c r="L2" s="25" t="n">
        <v>46114</v>
      </c>
      <c r="M2" s="22" t="inlineStr">
        <is>
          <t>sprint-Gonzalo</t>
        </is>
      </c>
      <c r="N2" s="26" t="n">
        <v>0</v>
      </c>
      <c r="O2" s="26" t="n">
        <v>2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t="inlineStr">
        <is>
          <t>Story</t>
        </is>
      </c>
      <c r="B3" s="28" t="inlineStr">
        <is>
          <t>FILTER-12400</t>
        </is>
      </c>
      <c r="C3" s="20" t="inlineStr">
        <is>
          <t>P1 Escalation - Extension API Fortification</t>
        </is>
      </c>
      <c r="D3" t="inlineStr"/>
      <c r="E3" t="inlineStr"/>
      <c r="F3" t="inlineStr">
        <is>
          <t>Ashish Modak</t>
        </is>
      </c>
      <c r="G3" t="inlineStr">
        <is>
          <t>Open</t>
        </is>
      </c>
      <c r="H3" t="inlineStr"/>
      <c r="I3" t="inlineStr">
        <is>
          <t>P1</t>
        </is>
      </c>
      <c r="J3" s="29" t="n">
        <v>46091</v>
      </c>
      <c r="L3" s="29" t="n">
        <v>46140</v>
      </c>
      <c r="M3" t="inlineStr">
        <is>
          <t>sprint-Gonzalo</t>
        </is>
      </c>
      <c r="N3" s="11" t="n">
        <v>0</v>
      </c>
      <c r="O3" s="11" t="n">
        <v>0</v>
      </c>
      <c r="P3" t="inlineStr">
        <is>
          <t>FILTER</t>
        </is>
      </c>
      <c r="Q3" t="inlineStr">
        <is>
          <t>p1escalation, unplanned-sprint</t>
        </is>
      </c>
      <c r="R3" t="inlineStr"/>
      <c r="S3" t="inlineStr"/>
    </row>
    <row r="4">
      <c r="A4" t="inlineStr">
        <is>
          <t>Escape Defect</t>
        </is>
      </c>
      <c r="B4" s="28" t="inlineStr">
        <is>
          <t>FILTER-10780</t>
        </is>
      </c>
      <c r="C4" s="20" t="inlineStr">
        <is>
          <t>SmartPAC on iOS can be broken by changing time on the iPad | St. Vrain</t>
        </is>
      </c>
      <c r="D4" t="inlineStr"/>
      <c r="E4" t="inlineStr"/>
      <c r="F4" t="inlineStr">
        <is>
          <t>Ashish Temurnikar</t>
        </is>
      </c>
      <c r="G4" t="inlineStr">
        <is>
          <t>Open</t>
        </is>
      </c>
      <c r="H4" t="inlineStr"/>
      <c r="I4" t="inlineStr">
        <is>
          <t>P2</t>
        </is>
      </c>
      <c r="J4" s="29" t="n">
        <v>45974</v>
      </c>
      <c r="L4" s="29" t="n">
        <v>46139</v>
      </c>
      <c r="M4" t="inlineStr">
        <is>
          <t>sprint-Gonzalo</t>
        </is>
      </c>
      <c r="N4" s="11" t="n">
        <v>5</v>
      </c>
      <c r="O4" s="11" t="n">
        <v>0</v>
      </c>
      <c r="P4" t="inlineStr">
        <is>
          <t>FILTER</t>
        </is>
      </c>
      <c r="Q4" t="inlineStr">
        <is>
          <t>jira_added, jira_backlog, jira_escalated, jira_open, jira_p2, zendesk_enterprise</t>
        </is>
      </c>
      <c r="R4" t="inlineStr"/>
      <c r="S4" t="inlineStr"/>
    </row>
    <row r="5">
      <c r="A5" t="inlineStr">
        <is>
          <t>Task</t>
        </is>
      </c>
      <c r="B5" s="28" t="inlineStr">
        <is>
          <t>FILTER-12796</t>
        </is>
      </c>
      <c r="C5" s="20" t="inlineStr">
        <is>
          <t>Update Cron Job for tokenization</t>
        </is>
      </c>
      <c r="D5" t="inlineStr"/>
      <c r="E5" t="inlineStr"/>
      <c r="F5" t="inlineStr">
        <is>
          <t>Prateek Fotedar</t>
        </is>
      </c>
      <c r="G5" t="inlineStr">
        <is>
          <t>QA Verified</t>
        </is>
      </c>
      <c r="H5" t="inlineStr">
        <is>
          <t>Fixed</t>
        </is>
      </c>
      <c r="I5" t="inlineStr">
        <is>
          <t>P3</t>
        </is>
      </c>
      <c r="J5" s="29" t="n">
        <v>46108</v>
      </c>
      <c r="K5" s="29" t="n">
        <v>46110</v>
      </c>
      <c r="L5" s="29" t="n">
        <v>46139</v>
      </c>
      <c r="M5" t="inlineStr">
        <is>
          <t>sprint-Gonzalo</t>
        </is>
      </c>
      <c r="N5" s="11" t="n">
        <v>1</v>
      </c>
      <c r="O5" s="11" t="n">
        <v>0</v>
      </c>
      <c r="P5" t="inlineStr">
        <is>
          <t>FILTER</t>
        </is>
      </c>
      <c r="Q5" t="inlineStr">
        <is>
          <t>unplanned-sprint</t>
        </is>
      </c>
      <c r="R5" t="inlineStr"/>
      <c r="S5" t="inlineStr"/>
    </row>
    <row r="6">
      <c r="A6" t="inlineStr">
        <is>
          <t>Escape Defect</t>
        </is>
      </c>
      <c r="B6" s="28" t="inlineStr">
        <is>
          <t>FILTER-12010</t>
        </is>
      </c>
      <c r="C6" s="20" t="inlineStr">
        <is>
          <t>P1 Escalation-Extension Bypass - Bookmark + stop page</t>
        </is>
      </c>
      <c r="D6" t="inlineStr"/>
      <c r="E6" t="inlineStr"/>
      <c r="F6" t="inlineStr">
        <is>
          <t>Pratik Tiwari</t>
        </is>
      </c>
      <c r="G6" t="inlineStr">
        <is>
          <t>Confirmation</t>
        </is>
      </c>
      <c r="H6" t="inlineStr">
        <is>
          <t>Fixed</t>
        </is>
      </c>
      <c r="I6" t="inlineStr">
        <is>
          <t>P1</t>
        </is>
      </c>
      <c r="J6" s="29" t="n">
        <v>46063</v>
      </c>
      <c r="K6" s="29" t="n">
        <v>46118</v>
      </c>
      <c r="L6" s="29" t="n">
        <v>46140</v>
      </c>
      <c r="M6" t="inlineStr">
        <is>
          <t>sprint-Gonzalo</t>
        </is>
      </c>
      <c r="N6" s="11" t="n">
        <v>20</v>
      </c>
      <c r="O6" s="11" t="n">
        <v>0</v>
      </c>
      <c r="P6" t="inlineStr">
        <is>
          <t>FILTER</t>
        </is>
      </c>
      <c r="Q6" t="inlineStr">
        <is>
          <t>jira_added, jira_confirmation, jira_done_notified, jira_escalated, jira_in_progress, jira_p1, jira_qa_verified, zendesk_enterprise, zendesk_org_at_risk</t>
        </is>
      </c>
      <c r="R6" t="inlineStr"/>
      <c r="S6" t="inlineStr"/>
    </row>
    <row r="7">
      <c r="A7" t="inlineStr">
        <is>
          <t>Defect</t>
        </is>
      </c>
      <c r="B7" s="28" t="inlineStr">
        <is>
          <t>FILTER-7955</t>
        </is>
      </c>
      <c r="C7" s="20" t="inlineStr">
        <is>
          <t>[TS Extension]Google search results appear while typing in the bar</t>
        </is>
      </c>
      <c r="D7" t="inlineStr"/>
      <c r="E7" t="inlineStr"/>
      <c r="F7" t="inlineStr">
        <is>
          <t>Pratik Tiwari</t>
        </is>
      </c>
      <c r="G7" t="inlineStr">
        <is>
          <t>Open</t>
        </is>
      </c>
      <c r="H7" t="inlineStr"/>
      <c r="I7" t="inlineStr">
        <is>
          <t>P2</t>
        </is>
      </c>
      <c r="J7" s="29" t="n">
        <v>45765</v>
      </c>
      <c r="L7" s="29" t="n">
        <v>46139</v>
      </c>
      <c r="M7" t="inlineStr">
        <is>
          <t>sprint-Gonzalo</t>
        </is>
      </c>
      <c r="N7" s="11" t="n">
        <v>0</v>
      </c>
      <c r="O7" s="11" t="n">
        <v>0</v>
      </c>
      <c r="P7" t="inlineStr">
        <is>
          <t>FILTER</t>
        </is>
      </c>
      <c r="Q7" t="inlineStr">
        <is>
          <t>EXTN, MV3</t>
        </is>
      </c>
      <c r="R7" t="inlineStr"/>
      <c r="S7" t="inlineStr"/>
    </row>
  </sheetData>
  <autoFilter ref="A1:S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sprint-Gonzalo (2026-03-31 → 2026-04-13)</t>
        </is>
      </c>
    </row>
    <row r="2">
      <c r="A2" s="30" t="inlineStr">
        <is>
          <t>sprint-Gonzalo tickets where Issue Type = Escape Defect AND Priority = P1 AND summary contains 'P1 Escalation' (regardless of bucket). Total = 9.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s="32" t="inlineStr">
        <is>
          <t>Escape Defect</t>
        </is>
      </c>
      <c r="B5" s="33" t="inlineStr">
        <is>
          <t>FILTER-11610</t>
        </is>
      </c>
      <c r="C5" s="34" t="inlineStr">
        <is>
          <t>P1 Escalation-CORs Errors at BlueBeam and Boomerang S3 Amazon domains | St. Vrain</t>
        </is>
      </c>
      <c r="D5" s="32" t="inlineStr"/>
      <c r="E5" s="32" t="inlineStr"/>
      <c r="F5" s="32" t="inlineStr">
        <is>
          <t>Ramani Cheruvu</t>
        </is>
      </c>
      <c r="G5" s="32" t="inlineStr">
        <is>
          <t>In Progress</t>
        </is>
      </c>
      <c r="H5" s="32" t="inlineStr">
        <is>
          <t>Fixed</t>
        </is>
      </c>
      <c r="I5" s="32" t="inlineStr">
        <is>
          <t>P1</t>
        </is>
      </c>
      <c r="J5" s="35" t="n">
        <v>46030</v>
      </c>
      <c r="K5" s="35" t="n">
        <v>46049</v>
      </c>
      <c r="L5" s="35" t="n">
        <v>46139</v>
      </c>
      <c r="M5" s="32" t="inlineStr">
        <is>
          <t>sprint-Gonzalo</t>
        </is>
      </c>
      <c r="N5" s="36" t="n">
        <v>0</v>
      </c>
      <c r="O5" s="36" t="n">
        <v>0</v>
      </c>
      <c r="P5" s="32" t="inlineStr">
        <is>
          <t>FILTER</t>
        </is>
      </c>
      <c r="Q5" s="32" t="inlineStr">
        <is>
          <t>Reverified-2026, jira_added, jira_backlog, jira_escalated, jira_in_progress, jira_open, jira_p1, jira_reopened, p1escalation, unplanned-sprint, zendesk_enterprise</t>
        </is>
      </c>
      <c r="R5" s="32" t="inlineStr"/>
      <c r="S5" s="37" t="inlineStr">
        <is>
          <t>Removed</t>
        </is>
      </c>
    </row>
    <row r="6">
      <c r="A6" s="32" t="inlineStr">
        <is>
          <t>Escape Defect</t>
        </is>
      </c>
      <c r="B6" s="33" t="inlineStr">
        <is>
          <t>FILTER-12119</t>
        </is>
      </c>
      <c r="C6" s="34" t="inlineStr">
        <is>
          <t>P1 Escalation-Investigate and address the use of about:blank pages as a filter loophole</t>
        </is>
      </c>
      <c r="D6" s="32" t="inlineStr"/>
      <c r="E6" s="32" t="inlineStr"/>
      <c r="F6" s="32" t="inlineStr">
        <is>
          <t>Shashank Tiwari</t>
        </is>
      </c>
      <c r="G6" s="32" t="inlineStr">
        <is>
          <t>In Progress</t>
        </is>
      </c>
      <c r="H6" s="32" t="inlineStr"/>
      <c r="I6" s="32" t="inlineStr">
        <is>
          <t>P1</t>
        </is>
      </c>
      <c r="J6" s="35" t="n">
        <v>46073</v>
      </c>
      <c r="K6" s="32" t="n"/>
      <c r="L6" s="35" t="n">
        <v>46140</v>
      </c>
      <c r="M6" s="32" t="inlineStr">
        <is>
          <t>sprint-Gonzalo</t>
        </is>
      </c>
      <c r="N6" s="36" t="n">
        <v>20</v>
      </c>
      <c r="O6" s="36" t="n">
        <v>0</v>
      </c>
      <c r="P6" s="32" t="inlineStr">
        <is>
          <t>FILTER</t>
        </is>
      </c>
      <c r="Q6" s="32" t="inlineStr">
        <is>
          <t>jira_added, jira_escalated, jira_in_progress, jira_open, jira_p1, jira_p2, p1escalation, zendesk_enterprise, zendesk_org_at_risk</t>
        </is>
      </c>
      <c r="R6" s="32" t="inlineStr"/>
      <c r="S6" s="37" t="inlineStr">
        <is>
          <t>Not Completed</t>
        </is>
      </c>
    </row>
    <row r="7">
      <c r="A7" s="32" t="inlineStr">
        <is>
          <t>Escape Defect</t>
        </is>
      </c>
      <c r="B7" s="33" t="inlineStr">
        <is>
          <t>FILTER-12476</t>
        </is>
      </c>
      <c r="C7" s="34" t="inlineStr">
        <is>
          <t>P1 Escalation-Extension Bypass - Opening new tab</t>
        </is>
      </c>
      <c r="D7" s="32" t="inlineStr"/>
      <c r="E7" s="32" t="inlineStr"/>
      <c r="F7" s="32" t="inlineStr">
        <is>
          <t>Shashank Tiwari</t>
        </is>
      </c>
      <c r="G7" s="32" t="inlineStr">
        <is>
          <t>QA READY</t>
        </is>
      </c>
      <c r="H7" s="32" t="inlineStr">
        <is>
          <t>Fixed</t>
        </is>
      </c>
      <c r="I7" s="32" t="inlineStr">
        <is>
          <t>P1</t>
        </is>
      </c>
      <c r="J7" s="35" t="n">
        <v>46094</v>
      </c>
      <c r="K7" s="35" t="n">
        <v>46140</v>
      </c>
      <c r="L7" s="35" t="n">
        <v>46140</v>
      </c>
      <c r="M7" s="32" t="inlineStr">
        <is>
          <t>sprint-Gonzalo</t>
        </is>
      </c>
      <c r="N7" s="36" t="n">
        <v>1</v>
      </c>
      <c r="O7" s="36" t="n">
        <v>0</v>
      </c>
      <c r="P7" s="32" t="inlineStr">
        <is>
          <t>FILTER</t>
        </is>
      </c>
      <c r="Q7" s="32" t="inlineStr">
        <is>
          <t>jira_added, jira_escalated, jira_in_progress, jira_open, jira_p1, zendesk_enterprise</t>
        </is>
      </c>
      <c r="R7" s="32" t="inlineStr"/>
      <c r="S7" s="37" t="inlineStr">
        <is>
          <t>Not Completed</t>
        </is>
      </c>
    </row>
    <row r="8">
      <c r="A8" s="32" t="inlineStr">
        <is>
          <t>Escape Defect</t>
        </is>
      </c>
      <c r="B8" s="33" t="inlineStr">
        <is>
          <t>FILTER-12619</t>
        </is>
      </c>
      <c r="C8" s="34" t="inlineStr">
        <is>
          <t>P1 Escalation-Policy Map Import not showing policy names | San Ramon</t>
        </is>
      </c>
      <c r="D8" s="32" t="inlineStr"/>
      <c r="E8" s="32" t="inlineStr"/>
      <c r="F8" s="32" t="inlineStr">
        <is>
          <t>Shashank Tiwari</t>
        </is>
      </c>
      <c r="G8" s="32" t="inlineStr">
        <is>
          <t>Waiting on support</t>
        </is>
      </c>
      <c r="H8" s="32" t="inlineStr"/>
      <c r="I8" s="32" t="inlineStr">
        <is>
          <t>P1</t>
        </is>
      </c>
      <c r="J8" s="35" t="n">
        <v>46104</v>
      </c>
      <c r="K8" s="32" t="n"/>
      <c r="L8" s="35" t="n">
        <v>46140</v>
      </c>
      <c r="M8" s="32" t="inlineStr">
        <is>
          <t>sprint-Gonzalo</t>
        </is>
      </c>
      <c r="N8" s="36" t="n">
        <v>0</v>
      </c>
      <c r="O8" s="36" t="n">
        <v>0</v>
      </c>
      <c r="P8" s="32" t="inlineStr">
        <is>
          <t>FILTER</t>
        </is>
      </c>
      <c r="Q8" s="32" t="inlineStr">
        <is>
          <t>Reverified-2026, jira_added, jira_backlog, jira_escalated, jira_in_progress, jira_open, jira_p1, jira_p2, jira_p3, p1escalation, zendesk_enterprise</t>
        </is>
      </c>
      <c r="R8" s="32" t="inlineStr"/>
      <c r="S8" s="37" t="inlineStr">
        <is>
          <t>Not Completed</t>
        </is>
      </c>
    </row>
    <row r="9">
      <c r="A9" t="inlineStr">
        <is>
          <t>Escape Defect</t>
        </is>
      </c>
      <c r="B9" s="28" t="inlineStr">
        <is>
          <t>FILTER-12010</t>
        </is>
      </c>
      <c r="C9" s="20" t="inlineStr">
        <is>
          <t>P1 Escalation-Extension Bypass - Bookmark + stop page</t>
        </is>
      </c>
      <c r="D9" t="inlineStr"/>
      <c r="E9" t="inlineStr"/>
      <c r="F9" t="inlineStr">
        <is>
          <t>Pratik Tiwari</t>
        </is>
      </c>
      <c r="G9" t="inlineStr">
        <is>
          <t>Confirmation</t>
        </is>
      </c>
      <c r="H9" t="inlineStr">
        <is>
          <t>Fixed</t>
        </is>
      </c>
      <c r="I9" t="inlineStr">
        <is>
          <t>P1</t>
        </is>
      </c>
      <c r="J9" s="29" t="n">
        <v>46063</v>
      </c>
      <c r="K9" s="29" t="n">
        <v>46118</v>
      </c>
      <c r="L9" s="29" t="n">
        <v>46140</v>
      </c>
      <c r="M9" t="inlineStr">
        <is>
          <t>sprint-Gonzalo</t>
        </is>
      </c>
      <c r="N9" s="11" t="n">
        <v>20</v>
      </c>
      <c r="O9" s="11" t="n">
        <v>0</v>
      </c>
      <c r="P9" t="inlineStr">
        <is>
          <t>FILTER</t>
        </is>
      </c>
      <c r="Q9" t="inlineStr">
        <is>
          <t>jira_added, jira_confirmation, jira_done_notified, jira_escalated, jira_in_progress, jira_p1, jira_qa_verified, zendesk_enterprise, zendesk_org_at_risk</t>
        </is>
      </c>
      <c r="R9" t="inlineStr"/>
      <c r="S9" t="inlineStr">
        <is>
          <t>Removed</t>
        </is>
      </c>
    </row>
    <row r="10">
      <c r="A10" t="inlineStr">
        <is>
          <t>Escape Defect</t>
        </is>
      </c>
      <c r="B10" s="28" t="inlineStr">
        <is>
          <t>FILTER-11654</t>
        </is>
      </c>
      <c r="C10" s="20" t="inlineStr">
        <is>
          <t>P1 Escalation-Crextn blocking issue with Google Workspace apps</t>
        </is>
      </c>
      <c r="D10" t="inlineStr">
        <is>
          <t>FILTER-4326</t>
        </is>
      </c>
      <c r="E10" t="inlineStr">
        <is>
          <t>Epic</t>
        </is>
      </c>
      <c r="F10" t="inlineStr">
        <is>
          <t>Shashank Tiwari</t>
        </is>
      </c>
      <c r="G10" t="inlineStr">
        <is>
          <t>QA Verified</t>
        </is>
      </c>
      <c r="H10" t="inlineStr">
        <is>
          <t>Done</t>
        </is>
      </c>
      <c r="I10" t="inlineStr">
        <is>
          <t>P1</t>
        </is>
      </c>
      <c r="J10" s="29" t="n">
        <v>46037</v>
      </c>
      <c r="K10" s="29" t="n">
        <v>46118</v>
      </c>
      <c r="L10" s="29" t="n">
        <v>46140</v>
      </c>
      <c r="M10" t="inlineStr">
        <is>
          <t>sprint-Gonzalo</t>
        </is>
      </c>
      <c r="N10" s="11" t="n">
        <v>0</v>
      </c>
      <c r="O10" s="11" t="n">
        <v>0</v>
      </c>
      <c r="P10" t="inlineStr">
        <is>
          <t>FILTER</t>
        </is>
      </c>
      <c r="Q10" t="inlineStr">
        <is>
          <t>jira_added, jira_escalated, jira_in_progress, jira_open, jira_p1, jira_qa_verified, jira_resolved</t>
        </is>
      </c>
      <c r="R10" t="inlineStr"/>
      <c r="S10" t="inlineStr">
        <is>
          <t>Removed</t>
        </is>
      </c>
    </row>
    <row r="11">
      <c r="A11" t="inlineStr">
        <is>
          <t>Escape Defect</t>
        </is>
      </c>
      <c r="B11" s="28" t="inlineStr">
        <is>
          <t>FILTER-12093</t>
        </is>
      </c>
      <c r="C11" s="20" t="inlineStr">
        <is>
          <t>P1 Escalation-Students bypass Filter via W3Schools HTML sandbox using CDN / third-party iframe loading (GitHub content proxy)</t>
        </is>
      </c>
      <c r="D11" t="inlineStr"/>
      <c r="E11" t="inlineStr"/>
      <c r="F11" t="inlineStr">
        <is>
          <t>Shashank Tiwari</t>
        </is>
      </c>
      <c r="G11" t="inlineStr">
        <is>
          <t>Done</t>
        </is>
      </c>
      <c r="H11" t="inlineStr">
        <is>
          <t>Fixed</t>
        </is>
      </c>
      <c r="I11" t="inlineStr">
        <is>
          <t>P1</t>
        </is>
      </c>
      <c r="J11" s="29" t="n">
        <v>46071</v>
      </c>
      <c r="K11" s="29" t="n">
        <v>46094</v>
      </c>
      <c r="L11" s="29" t="n">
        <v>46128</v>
      </c>
      <c r="M11" t="inlineStr">
        <is>
          <t>sprint-Gonzalo</t>
        </is>
      </c>
      <c r="N11" s="11" t="n">
        <v>21</v>
      </c>
      <c r="O11" s="11" t="n">
        <v>0</v>
      </c>
      <c r="P11" t="inlineStr">
        <is>
          <t>FILTER</t>
        </is>
      </c>
      <c r="Q11" t="inlineStr">
        <is>
          <t>jira_added, jira_closed_notify, jira_confirmation, jira_done, jira_escalated, jira_open, jira_p1, jira_qa_verified, jira_reopened, unplanned-sprint, zendesk_enterprise</t>
        </is>
      </c>
      <c r="R11" t="inlineStr"/>
      <c r="S11" t="inlineStr">
        <is>
          <t>Completed</t>
        </is>
      </c>
    </row>
    <row r="12">
      <c r="A12" t="inlineStr">
        <is>
          <t>Escape Defect</t>
        </is>
      </c>
      <c r="B12" s="28" t="inlineStr">
        <is>
          <t>FILTER-13105</t>
        </is>
      </c>
      <c r="C12" s="20" t="inlineStr">
        <is>
          <t xml:space="preserve">P1 Escalation-Looking for solution for HTML Editor vulnerabilities </t>
        </is>
      </c>
      <c r="D12" t="inlineStr"/>
      <c r="E12" t="inlineStr"/>
      <c r="F12" t="inlineStr">
        <is>
          <t>Shashank Tiwari</t>
        </is>
      </c>
      <c r="G12" t="inlineStr">
        <is>
          <t>QA Verified</t>
        </is>
      </c>
      <c r="H12" t="inlineStr">
        <is>
          <t>Configuration Issue</t>
        </is>
      </c>
      <c r="I12" t="inlineStr">
        <is>
          <t>P1</t>
        </is>
      </c>
      <c r="J12" s="29" t="n">
        <v>46114</v>
      </c>
      <c r="K12" s="29" t="n">
        <v>46129</v>
      </c>
      <c r="L12" s="29" t="n">
        <v>46139</v>
      </c>
      <c r="M12" t="inlineStr">
        <is>
          <t>sprint-Gonzalo</t>
        </is>
      </c>
      <c r="N12" s="11" t="n">
        <v>21</v>
      </c>
      <c r="O12" s="11" t="n">
        <v>0</v>
      </c>
      <c r="P12" t="inlineStr">
        <is>
          <t>FILTER</t>
        </is>
      </c>
      <c r="Q12" t="inlineStr">
        <is>
          <t>Reverified-2026, jira_added, jira_closed_notify, jira_done, jira_escalated, jira_in_progress, jira_open, jira_p1, jira_qa_verified, p1escalation, unplanned-sprint, zendesk_enterprise</t>
        </is>
      </c>
      <c r="R12" t="inlineStr"/>
      <c r="S12" t="inlineStr">
        <is>
          <t>Completed</t>
        </is>
      </c>
    </row>
    <row r="13">
      <c r="A13" t="inlineStr">
        <is>
          <t>Escape Defect</t>
        </is>
      </c>
      <c r="B13" s="28" t="inlineStr">
        <is>
          <t>FILTER-13129</t>
        </is>
      </c>
      <c r="C13" s="20" t="inlineStr">
        <is>
          <t>P1 Escalation- CA &amp; UK DNS filtering not working as expected.</t>
        </is>
      </c>
      <c r="D13" t="inlineStr"/>
      <c r="E13" t="inlineStr"/>
      <c r="F13" t="inlineStr">
        <is>
          <t>Shashank Tiwari</t>
        </is>
      </c>
      <c r="G13" t="inlineStr">
        <is>
          <t>RELEASED TO PROD</t>
        </is>
      </c>
      <c r="H13" t="inlineStr">
        <is>
          <t>Fixed</t>
        </is>
      </c>
      <c r="I13" t="inlineStr">
        <is>
          <t>P1</t>
        </is>
      </c>
      <c r="J13" s="29" t="n">
        <v>46114</v>
      </c>
      <c r="K13" s="29" t="n">
        <v>46118</v>
      </c>
      <c r="L13" s="29" t="n">
        <v>46127</v>
      </c>
      <c r="M13" t="inlineStr">
        <is>
          <t>sprint-Gonzalo</t>
        </is>
      </c>
      <c r="N13" s="11" t="n">
        <v>1</v>
      </c>
      <c r="O13" s="11" t="n">
        <v>3</v>
      </c>
      <c r="P13" t="inlineStr">
        <is>
          <t>FILTER</t>
        </is>
      </c>
      <c r="Q13" t="inlineStr">
        <is>
          <t>Reverified-2026, p1escalation, unplanned-sprint</t>
        </is>
      </c>
      <c r="R13" t="inlineStr"/>
      <c r="S13" t="inlineStr">
        <is>
          <t>Completed</t>
        </is>
      </c>
    </row>
  </sheetData>
  <autoFilter ref="A4:S13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2026-04-29T03:09:37Z</dcterms:created>
  <dcterms:modified xsi:type="dcterms:W3CDTF">2026-04-29T03:09:37Z</dcterms:modified>
</cp:coreProperties>
</file>