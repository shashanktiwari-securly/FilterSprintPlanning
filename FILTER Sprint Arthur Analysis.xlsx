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vs Delivery" sheetId="1" state="visible" r:id="rId1"/>
    <sheet name="Per-person Delivery" sheetId="2" state="visible" r:id="rId2"/>
    <sheet name="Completed" sheetId="3" state="visible" r:id="rId3"/>
    <sheet name="Not Completed" sheetId="4" state="visible" r:id="rId4"/>
    <sheet name="Removed" sheetId="5" state="visible" r:id="rId5"/>
    <sheet name="P1 Escalation" sheetId="6" state="visible" r:id="rId6"/>
  </sheets>
  <definedNames>
    <definedName name="_xlnm._FilterDatabase" localSheetId="2" hidden="1">'Completed'!$A$1:$S$99</definedName>
    <definedName name="_xlnm._FilterDatabase" localSheetId="3" hidden="1">'Not Completed'!$A$1:$S$14</definedName>
    <definedName name="_xlnm._FilterDatabase" localSheetId="4" hidden="1">'Removed'!$A$1:$S$14</definedName>
    <definedName name="_xlnm._FilterDatabase" localSheetId="5" hidden="1">'P1 Escalation'!$A$4:$S$13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yyyy-mm-dd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555555"/>
    </font>
    <font>
      <b val="1"/>
      <color rgb="FFC00000"/>
    </font>
    <font>
      <b val="1"/>
      <color rgb="FF006100"/>
    </font>
    <font>
      <b val="1"/>
      <color rgb="FFC00000"/>
      <sz val="14"/>
    </font>
    <font>
      <b val="1"/>
      <color rgb="FF7F6000"/>
      <sz val="12"/>
    </font>
    <font>
      <b val="1"/>
      <color rgb="FF7F6000"/>
    </font>
    <font>
      <color rgb="000563C1"/>
      <u val="single"/>
    </font>
    <font>
      <i val="1"/>
    </font>
    <font>
      <b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" fontId="0" fillId="4" borderId="0" pivotButton="0" quotePrefix="0" xfId="0"/>
    <xf numFmtId="1" fontId="0" fillId="0" borderId="0" pivotButton="0" quotePrefix="0" xfId="0"/>
    <xf numFmtId="2" fontId="0" fillId="4" borderId="0" pivotButton="0" quotePrefix="0" xfId="0"/>
    <xf numFmtId="165" fontId="0" fillId="4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6" borderId="0" pivotButton="0" quotePrefix="0" xfId="0"/>
    <xf numFmtId="0" fontId="9" fillId="6" borderId="0" pivotButton="0" quotePrefix="0" xfId="0"/>
    <xf numFmtId="0" fontId="0" fillId="6" borderId="0" applyAlignment="1" pivotButton="0" quotePrefix="0" xfId="0">
      <alignment vertical="top" wrapText="1"/>
    </xf>
    <xf numFmtId="167" fontId="0" fillId="6" borderId="0" pivotButton="0" quotePrefix="0" xfId="0"/>
    <xf numFmtId="2" fontId="0" fillId="6" borderId="0" pivotButton="0" quotePrefix="0" xfId="0"/>
    <xf numFmtId="0" fontId="8" fillId="6" borderId="0" pivotButton="0" quotePrefix="0" xfId="0"/>
    <xf numFmtId="0" fontId="9" fillId="0" borderId="0" pivotButton="0" quotePrefix="0" xfId="0"/>
    <xf numFmtId="167" fontId="0" fillId="0" borderId="0" pivotButton="0" quotePrefix="0" xfId="0"/>
    <xf numFmtId="0" fontId="10" fillId="0" borderId="0" pivotButton="0" quotePrefix="0" xfId="0"/>
    <xf numFmtId="0" fontId="1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curly.atlassian.net/browse/FILTER-11621" TargetMode="External" Id="rId1" /><Relationship Type="http://schemas.openxmlformats.org/officeDocument/2006/relationships/hyperlink" Target="https://securly.atlassian.net/browse/FILTER-11608" TargetMode="External" Id="rId2" /><Relationship Type="http://schemas.openxmlformats.org/officeDocument/2006/relationships/hyperlink" Target="https://securly.atlassian.net/browse/FILTER-11646" TargetMode="External" Id="rId3" /><Relationship Type="http://schemas.openxmlformats.org/officeDocument/2006/relationships/hyperlink" Target="https://securly.atlassian.net/browse/FDSE-143" TargetMode="External" Id="rId4" /><Relationship Type="http://schemas.openxmlformats.org/officeDocument/2006/relationships/hyperlink" Target="https://securly.atlassian.net/browse/FILTER-11588" TargetMode="External" Id="rId5" /><Relationship Type="http://schemas.openxmlformats.org/officeDocument/2006/relationships/hyperlink" Target="https://securly.atlassian.net/browse/FILTER-11589" TargetMode="External" Id="rId6" /><Relationship Type="http://schemas.openxmlformats.org/officeDocument/2006/relationships/hyperlink" Target="https://securly.atlassian.net/browse/FILTER-11605" TargetMode="External" Id="rId7" /><Relationship Type="http://schemas.openxmlformats.org/officeDocument/2006/relationships/hyperlink" Target="https://securly.atlassian.net/browse/FILTER-11604" TargetMode="External" Id="rId8" /><Relationship Type="http://schemas.openxmlformats.org/officeDocument/2006/relationships/hyperlink" Target="https://securly.atlassian.net/browse/FILTER-11614" TargetMode="External" Id="rId9" /><Relationship Type="http://schemas.openxmlformats.org/officeDocument/2006/relationships/hyperlink" Target="https://securly.atlassian.net/browse/FILTER-11615" TargetMode="External" Id="rId10" /><Relationship Type="http://schemas.openxmlformats.org/officeDocument/2006/relationships/hyperlink" Target="https://securly.atlassian.net/browse/FILTER-11619" TargetMode="External" Id="rId11" /><Relationship Type="http://schemas.openxmlformats.org/officeDocument/2006/relationships/hyperlink" Target="https://securly.atlassian.net/browse/FILTER-11620" TargetMode="External" Id="rId12" /><Relationship Type="http://schemas.openxmlformats.org/officeDocument/2006/relationships/hyperlink" Target="https://securly.atlassian.net/browse/FILTER-11701" TargetMode="External" Id="rId13" /><Relationship Type="http://schemas.openxmlformats.org/officeDocument/2006/relationships/hyperlink" Target="https://securly.atlassian.net/browse/FILTER-11725" TargetMode="External" Id="rId14" /><Relationship Type="http://schemas.openxmlformats.org/officeDocument/2006/relationships/hyperlink" Target="https://securly.atlassian.net/browse/FILTER-11293" TargetMode="External" Id="rId15" /><Relationship Type="http://schemas.openxmlformats.org/officeDocument/2006/relationships/hyperlink" Target="https://securly.atlassian.net/browse/FILTER-11013" TargetMode="External" Id="rId16" /><Relationship Type="http://schemas.openxmlformats.org/officeDocument/2006/relationships/hyperlink" Target="https://securly.atlassian.net/browse/FILTER-11014" TargetMode="External" Id="rId17" /><Relationship Type="http://schemas.openxmlformats.org/officeDocument/2006/relationships/hyperlink" Target="https://securly.atlassian.net/browse/FILTER-11131" TargetMode="External" Id="rId18" /><Relationship Type="http://schemas.openxmlformats.org/officeDocument/2006/relationships/hyperlink" Target="https://securly.atlassian.net/browse/FILTER-11211" TargetMode="External" Id="rId19" /><Relationship Type="http://schemas.openxmlformats.org/officeDocument/2006/relationships/hyperlink" Target="https://securly.atlassian.net/browse/FILTER-11278" TargetMode="External" Id="rId20" /><Relationship Type="http://schemas.openxmlformats.org/officeDocument/2006/relationships/hyperlink" Target="https://securly.atlassian.net/browse/FILTER-11452" TargetMode="External" Id="rId21" /><Relationship Type="http://schemas.openxmlformats.org/officeDocument/2006/relationships/hyperlink" Target="https://securly.atlassian.net/browse/FILTER-11170" TargetMode="External" Id="rId22" /><Relationship Type="http://schemas.openxmlformats.org/officeDocument/2006/relationships/hyperlink" Target="https://securly.atlassian.net/browse/FILTER-11342" TargetMode="External" Id="rId23" /><Relationship Type="http://schemas.openxmlformats.org/officeDocument/2006/relationships/hyperlink" Target="https://securly.atlassian.net/browse/FILTER-11349" TargetMode="External" Id="rId24" /><Relationship Type="http://schemas.openxmlformats.org/officeDocument/2006/relationships/hyperlink" Target="https://securly.atlassian.net/browse/FILTER-11367" TargetMode="External" Id="rId25" /><Relationship Type="http://schemas.openxmlformats.org/officeDocument/2006/relationships/hyperlink" Target="https://securly.atlassian.net/browse/FILTER-11528" TargetMode="External" Id="rId26" /><Relationship Type="http://schemas.openxmlformats.org/officeDocument/2006/relationships/hyperlink" Target="https://securly.atlassian.net/browse/FILTER-10237" TargetMode="External" Id="rId27" /><Relationship Type="http://schemas.openxmlformats.org/officeDocument/2006/relationships/hyperlink" Target="https://securly.atlassian.net/browse/FILTER-11276" TargetMode="External" Id="rId28" /><Relationship Type="http://schemas.openxmlformats.org/officeDocument/2006/relationships/hyperlink" Target="https://securly.atlassian.net/browse/FILTER-11496" TargetMode="External" Id="rId29" /><Relationship Type="http://schemas.openxmlformats.org/officeDocument/2006/relationships/hyperlink" Target="https://securly.atlassian.net/browse/FILTER-11501" TargetMode="External" Id="rId30" /><Relationship Type="http://schemas.openxmlformats.org/officeDocument/2006/relationships/hyperlink" Target="https://securly.atlassian.net/browse/FILTER-11609" TargetMode="External" Id="rId31" /><Relationship Type="http://schemas.openxmlformats.org/officeDocument/2006/relationships/hyperlink" Target="https://securly.atlassian.net/browse/FILTER-10702" TargetMode="External" Id="rId32" /><Relationship Type="http://schemas.openxmlformats.org/officeDocument/2006/relationships/hyperlink" Target="https://securly.atlassian.net/browse/FILTER-11016" TargetMode="External" Id="rId33" /><Relationship Type="http://schemas.openxmlformats.org/officeDocument/2006/relationships/hyperlink" Target="https://securly.atlassian.net/browse/FILTER-11021" TargetMode="External" Id="rId34" /><Relationship Type="http://schemas.openxmlformats.org/officeDocument/2006/relationships/hyperlink" Target="https://securly.atlassian.net/browse/FILTER-11027" TargetMode="External" Id="rId35" /><Relationship Type="http://schemas.openxmlformats.org/officeDocument/2006/relationships/hyperlink" Target="https://securly.atlassian.net/browse/FILTER-11171" TargetMode="External" Id="rId36" /><Relationship Type="http://schemas.openxmlformats.org/officeDocument/2006/relationships/hyperlink" Target="https://securly.atlassian.net/browse/FILTER-11250" TargetMode="External" Id="rId37" /><Relationship Type="http://schemas.openxmlformats.org/officeDocument/2006/relationships/hyperlink" Target="https://securly.atlassian.net/browse/FILTER-11366" TargetMode="External" Id="rId38" /><Relationship Type="http://schemas.openxmlformats.org/officeDocument/2006/relationships/hyperlink" Target="https://securly.atlassian.net/browse/FILTER-11368" TargetMode="External" Id="rId39" /><Relationship Type="http://schemas.openxmlformats.org/officeDocument/2006/relationships/hyperlink" Target="https://securly.atlassian.net/browse/FILTER-11417" TargetMode="External" Id="rId40" /><Relationship Type="http://schemas.openxmlformats.org/officeDocument/2006/relationships/hyperlink" Target="https://securly.atlassian.net/browse/FILTER-11503" TargetMode="External" Id="rId41" /><Relationship Type="http://schemas.openxmlformats.org/officeDocument/2006/relationships/hyperlink" Target="https://securly.atlassian.net/browse/FILTER-11506" TargetMode="External" Id="rId42" /><Relationship Type="http://schemas.openxmlformats.org/officeDocument/2006/relationships/hyperlink" Target="https://securly.atlassian.net/browse/FILTER-11529" TargetMode="External" Id="rId43" /><Relationship Type="http://schemas.openxmlformats.org/officeDocument/2006/relationships/hyperlink" Target="https://securly.atlassian.net/browse/FILTER-11551" TargetMode="External" Id="rId44" /><Relationship Type="http://schemas.openxmlformats.org/officeDocument/2006/relationships/hyperlink" Target="https://securly.atlassian.net/browse/FILTER-11576" TargetMode="External" Id="rId45" /><Relationship Type="http://schemas.openxmlformats.org/officeDocument/2006/relationships/hyperlink" Target="https://securly.atlassian.net/browse/FILTER-11820" TargetMode="External" Id="rId46" /><Relationship Type="http://schemas.openxmlformats.org/officeDocument/2006/relationships/hyperlink" Target="https://securly.atlassian.net/browse/FDSE-108" TargetMode="External" Id="rId47" /><Relationship Type="http://schemas.openxmlformats.org/officeDocument/2006/relationships/hyperlink" Target="https://securly.atlassian.net/browse/FDSE-110" TargetMode="External" Id="rId48" /><Relationship Type="http://schemas.openxmlformats.org/officeDocument/2006/relationships/hyperlink" Target="https://securly.atlassian.net/browse/FILTER-11450" TargetMode="External" Id="rId49" /><Relationship Type="http://schemas.openxmlformats.org/officeDocument/2006/relationships/hyperlink" Target="https://securly.atlassian.net/browse/FILTER-11523" TargetMode="External" Id="rId50" /><Relationship Type="http://schemas.openxmlformats.org/officeDocument/2006/relationships/hyperlink" Target="https://securly.atlassian.net/browse/FILTER-11563" TargetMode="External" Id="rId51" /><Relationship Type="http://schemas.openxmlformats.org/officeDocument/2006/relationships/hyperlink" Target="https://securly.atlassian.net/browse/FILTER-11570" TargetMode="External" Id="rId52" /><Relationship Type="http://schemas.openxmlformats.org/officeDocument/2006/relationships/hyperlink" Target="https://securly.atlassian.net/browse/FILTER-11616" TargetMode="External" Id="rId53" /><Relationship Type="http://schemas.openxmlformats.org/officeDocument/2006/relationships/hyperlink" Target="https://securly.atlassian.net/browse/FILTER-11623" TargetMode="External" Id="rId54" /><Relationship Type="http://schemas.openxmlformats.org/officeDocument/2006/relationships/hyperlink" Target="https://securly.atlassian.net/browse/FILTER-11624" TargetMode="External" Id="rId55" /><Relationship Type="http://schemas.openxmlformats.org/officeDocument/2006/relationships/hyperlink" Target="https://securly.atlassian.net/browse/FILTER-11625" TargetMode="External" Id="rId56" /><Relationship Type="http://schemas.openxmlformats.org/officeDocument/2006/relationships/hyperlink" Target="https://securly.atlassian.net/browse/FILTER-10738" TargetMode="External" Id="rId57" /><Relationship Type="http://schemas.openxmlformats.org/officeDocument/2006/relationships/hyperlink" Target="https://securly.atlassian.net/browse/FILTER-11353" TargetMode="External" Id="rId58" /><Relationship Type="http://schemas.openxmlformats.org/officeDocument/2006/relationships/hyperlink" Target="https://securly.atlassian.net/browse/FILTER-11415" TargetMode="External" Id="rId59" /><Relationship Type="http://schemas.openxmlformats.org/officeDocument/2006/relationships/hyperlink" Target="https://securly.atlassian.net/browse/FILTER-11627" TargetMode="External" Id="rId60" /><Relationship Type="http://schemas.openxmlformats.org/officeDocument/2006/relationships/hyperlink" Target="https://securly.atlassian.net/browse/FILTER-11628" TargetMode="External" Id="rId61" /><Relationship Type="http://schemas.openxmlformats.org/officeDocument/2006/relationships/hyperlink" Target="https://securly.atlassian.net/browse/FILTER-11629" TargetMode="External" Id="rId62" /><Relationship Type="http://schemas.openxmlformats.org/officeDocument/2006/relationships/hyperlink" Target="https://securly.atlassian.net/browse/FILTER-8088" TargetMode="External" Id="rId63" /><Relationship Type="http://schemas.openxmlformats.org/officeDocument/2006/relationships/hyperlink" Target="https://securly.atlassian.net/browse/FILTER-11018" TargetMode="External" Id="rId64" /><Relationship Type="http://schemas.openxmlformats.org/officeDocument/2006/relationships/hyperlink" Target="https://securly.atlassian.net/browse/FILTER-11020" TargetMode="External" Id="rId65" /><Relationship Type="http://schemas.openxmlformats.org/officeDocument/2006/relationships/hyperlink" Target="https://securly.atlassian.net/browse/FILTER-11026" TargetMode="External" Id="rId66" /><Relationship Type="http://schemas.openxmlformats.org/officeDocument/2006/relationships/hyperlink" Target="https://securly.atlassian.net/browse/FILTER-11451" TargetMode="External" Id="rId67" /><Relationship Type="http://schemas.openxmlformats.org/officeDocument/2006/relationships/hyperlink" Target="https://securly.atlassian.net/browse/FILTER-10740" TargetMode="External" Id="rId68" /><Relationship Type="http://schemas.openxmlformats.org/officeDocument/2006/relationships/hyperlink" Target="https://securly.atlassian.net/browse/FILTER-11352" TargetMode="External" Id="rId69" /><Relationship Type="http://schemas.openxmlformats.org/officeDocument/2006/relationships/hyperlink" Target="https://securly.atlassian.net/browse/FILTER-11458" TargetMode="External" Id="rId70" /><Relationship Type="http://schemas.openxmlformats.org/officeDocument/2006/relationships/hyperlink" Target="https://securly.atlassian.net/browse/FILTER-11516" TargetMode="External" Id="rId71" /><Relationship Type="http://schemas.openxmlformats.org/officeDocument/2006/relationships/hyperlink" Target="https://securly.atlassian.net/browse/FILTER-11702" TargetMode="External" Id="rId72" /><Relationship Type="http://schemas.openxmlformats.org/officeDocument/2006/relationships/hyperlink" Target="https://securly.atlassian.net/browse/FILTER-11491" TargetMode="External" Id="rId73" /><Relationship Type="http://schemas.openxmlformats.org/officeDocument/2006/relationships/hyperlink" Target="https://securly.atlassian.net/browse/FILTER-11512" TargetMode="External" Id="rId74" /><Relationship Type="http://schemas.openxmlformats.org/officeDocument/2006/relationships/hyperlink" Target="https://securly.atlassian.net/browse/FILTER-11546" TargetMode="External" Id="rId75" /><Relationship Type="http://schemas.openxmlformats.org/officeDocument/2006/relationships/hyperlink" Target="https://securly.atlassian.net/browse/FDSE-115" TargetMode="External" Id="rId76" /><Relationship Type="http://schemas.openxmlformats.org/officeDocument/2006/relationships/hyperlink" Target="https://securly.atlassian.net/browse/FDSE-121" TargetMode="External" Id="rId77" /><Relationship Type="http://schemas.openxmlformats.org/officeDocument/2006/relationships/hyperlink" Target="https://securly.atlassian.net/browse/FILTER-11019" TargetMode="External" Id="rId78" /><Relationship Type="http://schemas.openxmlformats.org/officeDocument/2006/relationships/hyperlink" Target="https://securly.atlassian.net/browse/FILTER-11025" TargetMode="External" Id="rId79" /><Relationship Type="http://schemas.openxmlformats.org/officeDocument/2006/relationships/hyperlink" Target="https://securly.atlassian.net/browse/FILTER-11527" TargetMode="External" Id="rId80" /><Relationship Type="http://schemas.openxmlformats.org/officeDocument/2006/relationships/hyperlink" Target="https://securly.atlassian.net/browse/FILTER-11552" TargetMode="External" Id="rId81" /><Relationship Type="http://schemas.openxmlformats.org/officeDocument/2006/relationships/hyperlink" Target="https://securly.atlassian.net/browse/FILTER-9128" TargetMode="External" Id="rId82" /><Relationship Type="http://schemas.openxmlformats.org/officeDocument/2006/relationships/hyperlink" Target="https://securly.atlassian.net/browse/FILTER-11015" TargetMode="External" Id="rId83" /><Relationship Type="http://schemas.openxmlformats.org/officeDocument/2006/relationships/hyperlink" Target="https://securly.atlassian.net/browse/FILTER-11343" TargetMode="External" Id="rId84" /><Relationship Type="http://schemas.openxmlformats.org/officeDocument/2006/relationships/hyperlink" Target="https://securly.atlassian.net/browse/FILTER-11350" TargetMode="External" Id="rId85" /><Relationship Type="http://schemas.openxmlformats.org/officeDocument/2006/relationships/hyperlink" Target="https://securly.atlassian.net/browse/FILTER-11495" TargetMode="External" Id="rId86" /><Relationship Type="http://schemas.openxmlformats.org/officeDocument/2006/relationships/hyperlink" Target="https://securly.atlassian.net/browse/FILTER-11498" TargetMode="External" Id="rId87" /><Relationship Type="http://schemas.openxmlformats.org/officeDocument/2006/relationships/hyperlink" Target="https://securly.atlassian.net/browse/FILTER-11514" TargetMode="External" Id="rId88" /><Relationship Type="http://schemas.openxmlformats.org/officeDocument/2006/relationships/hyperlink" Target="https://securly.atlassian.net/browse/FILTER-11611" TargetMode="External" Id="rId89" /><Relationship Type="http://schemas.openxmlformats.org/officeDocument/2006/relationships/hyperlink" Target="https://securly.atlassian.net/browse/FDSE-103" TargetMode="External" Id="rId90" /><Relationship Type="http://schemas.openxmlformats.org/officeDocument/2006/relationships/hyperlink" Target="https://securly.atlassian.net/browse/FILTER-11248" TargetMode="External" Id="rId91" /><Relationship Type="http://schemas.openxmlformats.org/officeDocument/2006/relationships/hyperlink" Target="https://securly.atlassian.net/browse/FILTER-11504" TargetMode="External" Id="rId92" /><Relationship Type="http://schemas.openxmlformats.org/officeDocument/2006/relationships/hyperlink" Target="https://securly.atlassian.net/browse/FILTER-11299" TargetMode="External" Id="rId93" /><Relationship Type="http://schemas.openxmlformats.org/officeDocument/2006/relationships/hyperlink" Target="https://securly.atlassian.net/browse/FILTER-11300" TargetMode="External" Id="rId94" /><Relationship Type="http://schemas.openxmlformats.org/officeDocument/2006/relationships/hyperlink" Target="https://securly.atlassian.net/browse/FILTER-11341" TargetMode="External" Id="rId95" /><Relationship Type="http://schemas.openxmlformats.org/officeDocument/2006/relationships/hyperlink" Target="https://securly.atlassian.net/browse/FILTER-11347" TargetMode="External" Id="rId96" /><Relationship Type="http://schemas.openxmlformats.org/officeDocument/2006/relationships/hyperlink" Target="https://securly.atlassian.net/browse/FILTER-11348" TargetMode="External" Id="rId97" /><Relationship Type="http://schemas.openxmlformats.org/officeDocument/2006/relationships/hyperlink" Target="https://securly.atlassian.net/browse/FILTER-11453" TargetMode="External" Id="rId98" /></Relationships>
</file>

<file path=xl/worksheets/_rels/sheet4.xml.rels><Relationships xmlns="http://schemas.openxmlformats.org/package/2006/relationships"><Relationship Type="http://schemas.openxmlformats.org/officeDocument/2006/relationships/hyperlink" Target="https://securly.atlassian.net/browse/FILTER-11311" TargetMode="External" Id="rId1" /><Relationship Type="http://schemas.openxmlformats.org/officeDocument/2006/relationships/hyperlink" Target="https://securly.atlassian.net/browse/FILTER-11327" TargetMode="External" Id="rId2" /><Relationship Type="http://schemas.openxmlformats.org/officeDocument/2006/relationships/hyperlink" Target="https://securly.atlassian.net/browse/FILTER-11406" TargetMode="External" Id="rId3" /><Relationship Type="http://schemas.openxmlformats.org/officeDocument/2006/relationships/hyperlink" Target="https://securly.atlassian.net/browse/FILTER-10635" TargetMode="External" Id="rId4" /><Relationship Type="http://schemas.openxmlformats.org/officeDocument/2006/relationships/hyperlink" Target="https://securly.atlassian.net/browse/FILTER-11063" TargetMode="External" Id="rId5" /><Relationship Type="http://schemas.openxmlformats.org/officeDocument/2006/relationships/hyperlink" Target="https://securly.atlassian.net/browse/FILTER-11427" TargetMode="External" Id="rId6" /><Relationship Type="http://schemas.openxmlformats.org/officeDocument/2006/relationships/hyperlink" Target="https://securly.atlassian.net/browse/FILTER-11303" TargetMode="External" Id="rId7" /><Relationship Type="http://schemas.openxmlformats.org/officeDocument/2006/relationships/hyperlink" Target="https://securly.atlassian.net/browse/FILTER-11310" TargetMode="External" Id="rId8" /><Relationship Type="http://schemas.openxmlformats.org/officeDocument/2006/relationships/hyperlink" Target="https://securly.atlassian.net/browse/FILTER-11404" TargetMode="External" Id="rId9" /><Relationship Type="http://schemas.openxmlformats.org/officeDocument/2006/relationships/hyperlink" Target="https://securly.atlassian.net/browse/FILTER-11064" TargetMode="External" Id="rId10" /><Relationship Type="http://schemas.openxmlformats.org/officeDocument/2006/relationships/hyperlink" Target="https://securly.atlassian.net/browse/FILTER-11301" TargetMode="External" Id="rId11" /><Relationship Type="http://schemas.openxmlformats.org/officeDocument/2006/relationships/hyperlink" Target="https://securly.atlassian.net/browse/FILTER-11372" TargetMode="External" Id="rId12" /><Relationship Type="http://schemas.openxmlformats.org/officeDocument/2006/relationships/hyperlink" Target="https://securly.atlassian.net/browse/FILTER-11405" TargetMode="External" Id="rId13" /></Relationships>
</file>

<file path=xl/worksheets/_rels/sheet5.xml.rels><Relationships xmlns="http://schemas.openxmlformats.org/package/2006/relationships"><Relationship Type="http://schemas.openxmlformats.org/officeDocument/2006/relationships/hyperlink" Target="https://securly.atlassian.net/browse/FILTER-7871" TargetMode="External" Id="rId1" /><Relationship Type="http://schemas.openxmlformats.org/officeDocument/2006/relationships/hyperlink" Target="https://securly.atlassian.net/browse/FDSE-140" TargetMode="External" Id="rId2" /><Relationship Type="http://schemas.openxmlformats.org/officeDocument/2006/relationships/hyperlink" Target="https://securly.atlassian.net/browse/FILTER-11592" TargetMode="External" Id="rId3" /><Relationship Type="http://schemas.openxmlformats.org/officeDocument/2006/relationships/hyperlink" Target="https://securly.atlassian.net/browse/FDSE-123" TargetMode="External" Id="rId4" /><Relationship Type="http://schemas.openxmlformats.org/officeDocument/2006/relationships/hyperlink" Target="https://securly.atlassian.net/browse/FDSE-126" TargetMode="External" Id="rId5" /><Relationship Type="http://schemas.openxmlformats.org/officeDocument/2006/relationships/hyperlink" Target="https://securly.atlassian.net/browse/FDSE-137" TargetMode="External" Id="rId6" /><Relationship Type="http://schemas.openxmlformats.org/officeDocument/2006/relationships/hyperlink" Target="https://securly.atlassian.net/browse/FDSE-142" TargetMode="External" Id="rId7" /><Relationship Type="http://schemas.openxmlformats.org/officeDocument/2006/relationships/hyperlink" Target="https://securly.atlassian.net/browse/FILTER-10900" TargetMode="External" Id="rId8" /><Relationship Type="http://schemas.openxmlformats.org/officeDocument/2006/relationships/hyperlink" Target="https://securly.atlassian.net/browse/FILTER-10743" TargetMode="External" Id="rId9" /><Relationship Type="http://schemas.openxmlformats.org/officeDocument/2006/relationships/hyperlink" Target="https://securly.atlassian.net/browse/FILTER-11581" TargetMode="External" Id="rId10" /><Relationship Type="http://schemas.openxmlformats.org/officeDocument/2006/relationships/hyperlink" Target="https://securly.atlassian.net/browse/FDSE-112" TargetMode="External" Id="rId11" /><Relationship Type="http://schemas.openxmlformats.org/officeDocument/2006/relationships/hyperlink" Target="https://securly.atlassian.net/browse/FDSE-148" TargetMode="External" Id="rId12" /><Relationship Type="http://schemas.openxmlformats.org/officeDocument/2006/relationships/hyperlink" Target="https://securly.atlassian.net/browse/FDSE-138" TargetMode="External" Id="rId13" /></Relationships>
</file>

<file path=xl/worksheets/_rels/sheet6.xml.rels><Relationships xmlns="http://schemas.openxmlformats.org/package/2006/relationships"><Relationship Type="http://schemas.openxmlformats.org/officeDocument/2006/relationships/hyperlink" Target="https://securly.atlassian.net/browse/FILTER-10237" TargetMode="External" Id="rId1" /><Relationship Type="http://schemas.openxmlformats.org/officeDocument/2006/relationships/hyperlink" Target="https://securly.atlassian.net/browse/FILTER-7871" TargetMode="External" Id="rId2" /><Relationship Type="http://schemas.openxmlformats.org/officeDocument/2006/relationships/hyperlink" Target="https://securly.atlassian.net/browse/FILTER-11365" TargetMode="External" Id="rId3" /><Relationship Type="http://schemas.openxmlformats.org/officeDocument/2006/relationships/hyperlink" Target="https://securly.atlassian.net/browse/FILTER-10392" TargetMode="External" Id="rId4" /><Relationship Type="http://schemas.openxmlformats.org/officeDocument/2006/relationships/hyperlink" Target="https://securly.atlassian.net/browse/FILTER-11047" TargetMode="External" Id="rId5" /><Relationship Type="http://schemas.openxmlformats.org/officeDocument/2006/relationships/hyperlink" Target="https://securly.atlassian.net/browse/FILTER-11443" TargetMode="External" Id="rId6" /><Relationship Type="http://schemas.openxmlformats.org/officeDocument/2006/relationships/hyperlink" Target="https://securly.atlassian.net/browse/FILTER-11557" TargetMode="External" Id="rId7" /><Relationship Type="http://schemas.openxmlformats.org/officeDocument/2006/relationships/hyperlink" Target="https://securly.atlassian.net/browse/FILTER-11680" TargetMode="External" Id="rId8" /><Relationship Type="http://schemas.openxmlformats.org/officeDocument/2006/relationships/hyperlink" Target="https://securly.atlassian.net/browse/FILTER-656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Capacity vs Delivery — FILTER · sprint-Arthur (Tue 06 Jan → Mon 19 Jan 2026)</t>
        </is>
      </c>
    </row>
    <row r="2">
      <c r="A2" s="2" t="inlineStr">
        <is>
          <t>Team Composition (per Securly-PjM-Skills.md Part 2 — Filter India roster). Inactive members for this sprint window are shaded grey with a roster note.</t>
        </is>
      </c>
    </row>
    <row r="3">
      <c r="A3" s="3" t="inlineStr">
        <is>
          <t>Name</t>
        </is>
      </c>
      <c r="B3" s="3" t="inlineStr">
        <is>
          <t>Role</t>
        </is>
      </c>
      <c r="C3" s="3" t="inlineStr">
        <is>
          <t>Function / Split</t>
        </is>
      </c>
      <c r="D3" s="3" t="inlineStr">
        <is>
          <t>Allocation (FTE)</t>
        </is>
      </c>
      <c r="E3" s="3" t="inlineStr">
        <is>
          <t>Seniority</t>
        </is>
      </c>
      <c r="F3" s="3" t="inlineStr">
        <is>
          <t>Employment</t>
        </is>
      </c>
      <c r="G3" s="3" t="inlineStr">
        <is>
          <t>Notes</t>
        </is>
      </c>
    </row>
    <row r="4">
      <c r="A4" t="inlineStr">
        <is>
          <t>Shashank Tiwari</t>
        </is>
      </c>
      <c r="B4" t="inlineStr">
        <is>
          <t>Project Manager</t>
        </is>
      </c>
      <c r="C4" t="inlineStr">
        <is>
          <t>PM / Delivery</t>
        </is>
      </c>
      <c r="D4" s="4" t="n">
        <v>0</v>
      </c>
      <c r="E4" t="inlineStr">
        <is>
          <t>Lead</t>
        </is>
      </c>
      <c r="F4" t="inlineStr">
        <is>
          <t>FTE</t>
        </is>
      </c>
      <c r="G4" t="inlineStr">
        <is>
          <t>Not counted in delivery capacity</t>
        </is>
      </c>
    </row>
    <row r="5">
      <c r="A5" t="inlineStr">
        <is>
          <t>Harsh Verma</t>
        </is>
      </c>
      <c r="B5" t="inlineStr">
        <is>
          <t>FE</t>
        </is>
      </c>
      <c r="C5" t="inlineStr">
        <is>
          <t>FrontEnd Architect (Angular)</t>
        </is>
      </c>
      <c r="D5" s="4" t="n">
        <v>1</v>
      </c>
      <c r="E5" t="inlineStr">
        <is>
          <t>Senior</t>
        </is>
      </c>
      <c r="F5" t="inlineStr">
        <is>
          <t>FTE</t>
        </is>
      </c>
      <c r="G5" t="inlineStr"/>
    </row>
    <row r="6">
      <c r="A6" t="inlineStr">
        <is>
          <t>Arun Thakur</t>
        </is>
      </c>
      <c r="B6" t="inlineStr">
        <is>
          <t>FE + Ext</t>
        </is>
      </c>
      <c r="C6" t="inlineStr">
        <is>
          <t>Angular / Extension</t>
        </is>
      </c>
      <c r="D6" s="4" t="n">
        <v>1</v>
      </c>
      <c r="E6" t="inlineStr">
        <is>
          <t>Medium</t>
        </is>
      </c>
      <c r="F6" t="inlineStr">
        <is>
          <t>FTE</t>
        </is>
      </c>
      <c r="G6" t="inlineStr"/>
    </row>
    <row r="7">
      <c r="A7" t="inlineStr">
        <is>
          <t>Harshada Kude</t>
        </is>
      </c>
      <c r="B7" t="inlineStr">
        <is>
          <t>FE</t>
        </is>
      </c>
      <c r="C7" t="inlineStr">
        <is>
          <t>Angular</t>
        </is>
      </c>
      <c r="D7" s="4" t="n">
        <v>1</v>
      </c>
      <c r="E7" t="inlineStr">
        <is>
          <t>Junior</t>
        </is>
      </c>
      <c r="F7" t="inlineStr">
        <is>
          <t>FTE</t>
        </is>
      </c>
      <c r="G7" t="inlineStr"/>
    </row>
    <row r="8">
      <c r="A8" t="inlineStr">
        <is>
          <t>Shailendra Singh</t>
        </is>
      </c>
      <c r="B8" t="inlineStr">
        <is>
          <t>FE</t>
        </is>
      </c>
      <c r="C8" t="inlineStr">
        <is>
          <t>Angular</t>
        </is>
      </c>
      <c r="D8" s="4" t="n">
        <v>1</v>
      </c>
      <c r="E8" t="inlineStr">
        <is>
          <t>Medium</t>
        </is>
      </c>
      <c r="F8" t="inlineStr">
        <is>
          <t>FTE</t>
        </is>
      </c>
      <c r="G8" t="inlineStr"/>
    </row>
    <row r="9">
      <c r="A9" t="inlineStr">
        <is>
          <t>Swaroop Chavhan</t>
        </is>
      </c>
      <c r="B9" t="inlineStr">
        <is>
          <t>FE + Ext</t>
        </is>
      </c>
      <c r="C9" t="inlineStr">
        <is>
          <t>Angular / Extension</t>
        </is>
      </c>
      <c r="D9" s="4" t="n">
        <v>1</v>
      </c>
      <c r="E9" t="inlineStr">
        <is>
          <t>Medium</t>
        </is>
      </c>
      <c r="F9" t="inlineStr">
        <is>
          <t>FTE</t>
        </is>
      </c>
      <c r="G9" t="inlineStr"/>
    </row>
    <row r="10">
      <c r="A10" t="inlineStr">
        <is>
          <t>Ashish Modak</t>
        </is>
      </c>
      <c r="B10" t="inlineStr">
        <is>
          <t>BE Architect</t>
        </is>
      </c>
      <c r="C10" t="inlineStr">
        <is>
          <t>Extension / Go / PHP</t>
        </is>
      </c>
      <c r="D10" s="4" t="n">
        <v>1</v>
      </c>
      <c r="E10" t="inlineStr">
        <is>
          <t>Senior</t>
        </is>
      </c>
      <c r="F10" t="inlineStr">
        <is>
          <t>FTE</t>
        </is>
      </c>
      <c r="G10" t="inlineStr"/>
    </row>
    <row r="11">
      <c r="A11" t="inlineStr">
        <is>
          <t>Prateek Fotedar</t>
        </is>
      </c>
      <c r="B11" t="inlineStr">
        <is>
          <t>BE (www)</t>
        </is>
      </c>
      <c r="C11" t="inlineStr">
        <is>
          <t>Go / PHP</t>
        </is>
      </c>
      <c r="D11" s="4" t="n">
        <v>1</v>
      </c>
      <c r="E11" t="inlineStr">
        <is>
          <t>Senior</t>
        </is>
      </c>
      <c r="F11" t="inlineStr">
        <is>
          <t>FTE</t>
        </is>
      </c>
      <c r="G11" t="inlineStr"/>
    </row>
    <row r="12">
      <c r="A12" t="inlineStr">
        <is>
          <t>Sagar Satpute</t>
        </is>
      </c>
      <c r="B12" t="inlineStr">
        <is>
          <t>BE (www)</t>
        </is>
      </c>
      <c r="C12" t="inlineStr">
        <is>
          <t>Go / PHP</t>
        </is>
      </c>
      <c r="D12" s="4" t="n">
        <v>1</v>
      </c>
      <c r="E12" t="inlineStr">
        <is>
          <t>Medium</t>
        </is>
      </c>
      <c r="F12" t="inlineStr">
        <is>
          <t>FTE</t>
        </is>
      </c>
      <c r="G12" t="inlineStr"/>
    </row>
    <row r="13">
      <c r="A13" t="inlineStr">
        <is>
          <t>Vaibhav Kumbhar</t>
        </is>
      </c>
      <c r="B13" t="inlineStr">
        <is>
          <t>BE</t>
        </is>
      </c>
      <c r="C13" t="inlineStr">
        <is>
          <t>Go / PHP</t>
        </is>
      </c>
      <c r="D13" s="4" t="n">
        <v>1</v>
      </c>
      <c r="E13" t="inlineStr">
        <is>
          <t>Medium</t>
        </is>
      </c>
      <c r="F13" t="inlineStr">
        <is>
          <t>FTE</t>
        </is>
      </c>
      <c r="G13" t="inlineStr"/>
    </row>
    <row r="14">
      <c r="A14" t="inlineStr">
        <is>
          <t>Ashish Temurnikar</t>
        </is>
      </c>
      <c r="B14" t="inlineStr">
        <is>
          <t>BE</t>
        </is>
      </c>
      <c r="C14" t="inlineStr">
        <is>
          <t>DNS / SPAC / Squid / Rust</t>
        </is>
      </c>
      <c r="D14" s="4" t="n">
        <v>1</v>
      </c>
      <c r="E14" t="inlineStr">
        <is>
          <t>Senior</t>
        </is>
      </c>
      <c r="F14" t="inlineStr">
        <is>
          <t>FTE</t>
        </is>
      </c>
      <c r="G14" t="inlineStr"/>
    </row>
    <row r="15">
      <c r="A15" t="inlineStr">
        <is>
          <t>Ravi Raj</t>
        </is>
      </c>
      <c r="B15" t="inlineStr">
        <is>
          <t>BE</t>
        </is>
      </c>
      <c r="C15" t="inlineStr">
        <is>
          <t>DNS / SPAC / Squid / Rust</t>
        </is>
      </c>
      <c r="D15" s="4" t="n">
        <v>1</v>
      </c>
      <c r="E15" t="inlineStr">
        <is>
          <t>Medium</t>
        </is>
      </c>
      <c r="F15" t="inlineStr">
        <is>
          <t>FTE</t>
        </is>
      </c>
      <c r="G15" t="inlineStr"/>
    </row>
    <row r="16">
      <c r="A16" t="inlineStr">
        <is>
          <t>Pratik Tiwari</t>
        </is>
      </c>
      <c r="B16" t="inlineStr">
        <is>
          <t>BE + Ext</t>
        </is>
      </c>
      <c r="C16" t="inlineStr">
        <is>
          <t>Extension / Go / Rust</t>
        </is>
      </c>
      <c r="D16" s="4" t="n">
        <v>1</v>
      </c>
      <c r="E16" t="inlineStr">
        <is>
          <t>Senior</t>
        </is>
      </c>
      <c r="F16" t="inlineStr">
        <is>
          <t>FTE</t>
        </is>
      </c>
      <c r="G16" t="inlineStr"/>
    </row>
    <row r="17">
      <c r="A17" t="inlineStr">
        <is>
          <t>Altamash Heroli</t>
        </is>
      </c>
      <c r="B17" t="inlineStr">
        <is>
          <t>QA</t>
        </is>
      </c>
      <c r="C17" t="inlineStr">
        <is>
          <t>Pri. Manual QA</t>
        </is>
      </c>
      <c r="D17" s="4" t="n">
        <v>1</v>
      </c>
      <c r="E17" t="inlineStr">
        <is>
          <t>Senior</t>
        </is>
      </c>
      <c r="F17" t="inlineStr">
        <is>
          <t>FTE</t>
        </is>
      </c>
      <c r="G17" t="inlineStr"/>
    </row>
    <row r="18">
      <c r="A18" t="inlineStr">
        <is>
          <t>Surabhi Choudhary</t>
        </is>
      </c>
      <c r="B18" t="inlineStr">
        <is>
          <t>QA</t>
        </is>
      </c>
      <c r="C18" t="inlineStr">
        <is>
          <t>Sr. Manual QA</t>
        </is>
      </c>
      <c r="D18" s="4" t="n">
        <v>1</v>
      </c>
      <c r="E18" t="inlineStr">
        <is>
          <t>Senior</t>
        </is>
      </c>
      <c r="F18" t="inlineStr">
        <is>
          <t>FTE</t>
        </is>
      </c>
      <c r="G18" t="inlineStr"/>
    </row>
    <row r="19">
      <c r="A19" t="inlineStr">
        <is>
          <t>Ayesha Kamde</t>
        </is>
      </c>
      <c r="B19" t="inlineStr">
        <is>
          <t>QA</t>
        </is>
      </c>
      <c r="C19" t="inlineStr">
        <is>
          <t>Manual QA</t>
        </is>
      </c>
      <c r="D19" s="4" t="n">
        <v>1</v>
      </c>
      <c r="E19" t="inlineStr">
        <is>
          <t>Junior</t>
        </is>
      </c>
      <c r="F19" t="inlineStr">
        <is>
          <t>FTE</t>
        </is>
      </c>
      <c r="G19" t="inlineStr"/>
    </row>
    <row r="20">
      <c r="A20" s="5" t="inlineStr">
        <is>
          <t>Amol Mithari</t>
        </is>
      </c>
      <c r="B20" s="5" t="inlineStr">
        <is>
          <t>Auto QA Lead</t>
        </is>
      </c>
      <c r="C20" s="5" t="inlineStr">
        <is>
          <t>Team Lead — Auto QA / SDET</t>
        </is>
      </c>
      <c r="D20" s="6" t="n">
        <v>0</v>
      </c>
      <c r="E20" s="5" t="inlineStr">
        <is>
          <t>Lead</t>
        </is>
      </c>
      <c r="F20" s="5" t="inlineStr">
        <is>
          <t>FTE</t>
        </is>
      </c>
      <c r="G20" s="5" t="inlineStr">
        <is>
          <t>Joined team on 20-Feb-2026 — not part of this sprint</t>
        </is>
      </c>
    </row>
    <row r="21">
      <c r="A21" t="inlineStr">
        <is>
          <t>Amit Shete</t>
        </is>
      </c>
      <c r="B21" t="inlineStr">
        <is>
          <t>Auto QA</t>
        </is>
      </c>
      <c r="C21" t="inlineStr">
        <is>
          <t>Pri. SDET</t>
        </is>
      </c>
      <c r="D21" s="4" t="n">
        <v>1</v>
      </c>
      <c r="E21" t="inlineStr">
        <is>
          <t>Senior</t>
        </is>
      </c>
      <c r="F21" t="inlineStr">
        <is>
          <t>FTE</t>
        </is>
      </c>
      <c r="G21" t="inlineStr"/>
    </row>
    <row r="22">
      <c r="A22" t="inlineStr">
        <is>
          <t>Rachit Mishra</t>
        </is>
      </c>
      <c r="B22" t="inlineStr">
        <is>
          <t>Auto QA</t>
        </is>
      </c>
      <c r="C22" t="inlineStr">
        <is>
          <t>SDET</t>
        </is>
      </c>
      <c r="D22" s="4" t="n">
        <v>1</v>
      </c>
      <c r="E22" t="inlineStr">
        <is>
          <t>Junior</t>
        </is>
      </c>
      <c r="F22" t="inlineStr">
        <is>
          <t>FTE</t>
        </is>
      </c>
      <c r="G22" t="inlineStr"/>
    </row>
    <row r="23">
      <c r="A23" s="2" t="inlineStr">
        <is>
          <t>Total FILTER allocation</t>
        </is>
      </c>
      <c r="D23" s="4">
        <f>SUM(D4:D22)</f>
        <v/>
      </c>
      <c r="E23" t="inlineStr">
        <is>
          <t>FTE-equivalent heads available to FILTER</t>
        </is>
      </c>
    </row>
    <row r="25">
      <c r="A25" s="2" t="inlineStr">
        <is>
          <t>Capacity Parameters (yellow cells are inputs — re-run the script after edits)</t>
        </is>
      </c>
    </row>
    <row r="26">
      <c r="A26" s="3" t="inlineStr">
        <is>
          <t>Parameter</t>
        </is>
      </c>
      <c r="B26" s="3" t="inlineStr">
        <is>
          <t>Value</t>
        </is>
      </c>
      <c r="C26" s="3" t="inlineStr">
        <is>
          <t>Description</t>
        </is>
      </c>
    </row>
    <row r="27">
      <c r="A27" t="inlineStr">
        <is>
          <t>Sprint length (working days)</t>
        </is>
      </c>
      <c r="B27" s="7" t="n">
        <v>10</v>
      </c>
      <c r="C27" t="inlineStr">
        <is>
          <t>FILTER 15-day sprint Tue → Mon. sprint-Arthur = 2026-01-06 → 2026-01-19.</t>
        </is>
      </c>
    </row>
    <row r="28">
      <c r="A28" t="inlineStr">
        <is>
          <t>Company holidays in sprint</t>
        </is>
      </c>
      <c r="B28" s="7" t="n">
        <v>0</v>
      </c>
      <c r="C28" t="inlineStr">
        <is>
          <t>India calendar 2026 — none in window</t>
        </is>
      </c>
    </row>
    <row r="29">
      <c r="A29" t="inlineStr">
        <is>
          <t>Effective working days (sprint − company holidays)</t>
        </is>
      </c>
      <c r="B29" s="8">
        <f>B27-B28</f>
        <v/>
      </c>
      <c r="C29" t="inlineStr">
        <is>
          <t>Used as the per-person calendar for availability</t>
        </is>
      </c>
    </row>
    <row r="30">
      <c r="A30" t="inlineStr">
        <is>
          <t>Hours per working day (nominal)</t>
        </is>
      </c>
      <c r="B30" s="9" t="n">
        <v>8</v>
      </c>
      <c r="C30" t="inlineStr">
        <is>
          <t>Standard working day</t>
        </is>
      </c>
    </row>
    <row r="31">
      <c r="A31" t="inlineStr">
        <is>
          <t>Focus factor (productive fraction)</t>
        </is>
      </c>
      <c r="B31" s="9" t="n">
        <v>0.9</v>
      </c>
      <c r="C31" t="inlineStr">
        <is>
          <t>90% — what SLT expects (sprint-analysis default)</t>
        </is>
      </c>
    </row>
    <row r="32">
      <c r="A32" t="inlineStr">
        <is>
          <t>Misc buffer (meetings, scrums, code review, …)</t>
        </is>
      </c>
      <c r="B32" s="10" t="n">
        <v>0.2</v>
      </c>
      <c r="C32" t="inlineStr">
        <is>
          <t>20% blanket reservation deducted from Available to get Net Available</t>
        </is>
      </c>
    </row>
    <row r="33">
      <c r="A33" t="inlineStr">
        <is>
          <t>Effective hours per FTE per sprint</t>
        </is>
      </c>
      <c r="B33" s="11">
        <f>B29*B30*B31</f>
        <v/>
      </c>
      <c r="C33">
        <f> effective days × hrs/day × focus factor</f>
        <v/>
      </c>
    </row>
    <row r="34">
      <c r="A34" t="inlineStr">
        <is>
          <t>Allocated FTE on FILTER (active this sprint)</t>
        </is>
      </c>
      <c r="B34" s="7" t="n">
        <v>17</v>
      </c>
      <c r="C34" t="inlineStr">
        <is>
          <t>Headcount actually working this sprint (excludes joiners/leavers outside window)</t>
        </is>
      </c>
    </row>
    <row r="35">
      <c r="A35" t="inlineStr">
        <is>
          <t>Ideal capacity for the sprint (hrs)</t>
        </is>
      </c>
      <c r="B35" s="11">
        <f>B33*B34</f>
        <v/>
      </c>
      <c r="C35">
        <f> effective hrs/FTE × allocated FTE</f>
        <v/>
      </c>
    </row>
    <row r="36">
      <c r="A36" t="inlineStr">
        <is>
          <t>Issue scope (Jira projects)</t>
        </is>
      </c>
      <c r="B36" t="inlineStr">
        <is>
          <t>FILTER, PTGM, FDSE</t>
        </is>
      </c>
      <c r="C36" t="inlineStr">
        <is>
          <t>Tickets pulled with `project in (FILTER, PTGM, FDSE) AND sprint = …` — FDSE: 14 · FILTER: 218 · PTGM: 22</t>
        </is>
      </c>
    </row>
    <row r="38">
      <c r="A38" s="2" t="inlineStr">
        <is>
          <t>Capacity vs Actual Delivery — sprint-Arthur</t>
        </is>
      </c>
    </row>
    <row r="39">
      <c r="A39" s="3" t="inlineStr">
        <is>
          <t>Metric</t>
        </is>
      </c>
      <c r="B39" s="3" t="inlineStr">
        <is>
          <t>Hours</t>
        </is>
      </c>
      <c r="C39" s="3" t="inlineStr">
        <is>
          <t>% of Ideal</t>
        </is>
      </c>
      <c r="D39" s="3" t="inlineStr">
        <is>
          <t>Rating</t>
        </is>
      </c>
      <c r="E39" s="3" t="inlineStr">
        <is>
          <t>Notes</t>
        </is>
      </c>
    </row>
    <row r="40">
      <c r="A40" t="inlineStr">
        <is>
          <t>Actual Availability</t>
        </is>
      </c>
      <c r="B40" s="11">
        <f>'Per-person Delivery'!F19</f>
        <v/>
      </c>
      <c r="D40">
        <f>IF(C40="","",IF(C40&gt;=0.85,"On Target",IF(C40&gt;=0.7,"Below Target","Significantly Below")))</f>
        <v/>
      </c>
      <c r="E40" t="inlineStr">
        <is>
          <t>Sum of per-person availability (Ideal − leaves)</t>
        </is>
      </c>
    </row>
    <row r="41">
      <c r="A41" t="inlineStr">
        <is>
          <t>Misc Buffer (20%)</t>
        </is>
      </c>
      <c r="B41" s="11">
        <f>'Per-person Delivery'!H19</f>
        <v/>
      </c>
      <c r="D41">
        <f>IF(C41="","",IF(C41&gt;=0.85,"On Target",IF(C41&gt;=0.7,"Below Target","Significantly Below")))</f>
        <v/>
      </c>
      <c r="E41" t="inlineStr">
        <is>
          <t>Reserved for meetings, scrums, code reviews</t>
        </is>
      </c>
    </row>
    <row r="42">
      <c r="A42" t="inlineStr">
        <is>
          <t>Net Available (Available − Misc Buffer)</t>
        </is>
      </c>
      <c r="B42" s="11">
        <f>'Per-person Delivery'!I19</f>
        <v/>
      </c>
      <c r="D42">
        <f>IF(C42="","",IF(C42&gt;=0.85,"On Target",IF(C42&gt;=0.7,"Below Target","Significantly Below")))</f>
        <v/>
      </c>
      <c r="E42" t="inlineStr">
        <is>
          <t>Realistic delivery capacity — used as the denominator for Completed %</t>
        </is>
      </c>
    </row>
    <row r="43">
      <c r="A43" t="inlineStr">
        <is>
          <t>Completed</t>
        </is>
      </c>
      <c r="B43" s="11">
        <f>'Per-person Delivery'!B19</f>
        <v/>
      </c>
      <c r="C43" s="12">
        <f>IFERROR(B43/B42,"")</f>
        <v/>
      </c>
      <c r="D43">
        <f>IF(C43="","",IF(C43&gt;=0.85,"On Target",IF(C43&gt;=0.7,"Below Target","Significantly Below")))</f>
        <v/>
      </c>
      <c r="E43" t="inlineStr">
        <is>
          <t>Sum of in-sprint timeSpent (Completed bucket)</t>
        </is>
      </c>
    </row>
    <row r="44">
      <c r="A44" t="inlineStr">
        <is>
          <t>Not Completed (Spillover)</t>
        </is>
      </c>
      <c r="B44" s="11">
        <f>'Per-person Delivery'!C19</f>
        <v/>
      </c>
      <c r="C44" s="12">
        <f>IFERROR(B44/B42,"")</f>
        <v/>
      </c>
      <c r="D44">
        <f>IF(C44="","",IF(C44&gt;=0.85,"On Target",IF(C44&gt;=0.7,"Below Target","Significantly Below")))</f>
        <v/>
      </c>
      <c r="E44" t="inlineStr">
        <is>
          <t>Original estimate for spillover (carried into next sprint)</t>
        </is>
      </c>
    </row>
    <row r="45">
      <c r="A45" t="inlineStr">
        <is>
          <t>Removed</t>
        </is>
      </c>
      <c r="B45" s="11">
        <f>'Per-person Delivery'!D19</f>
        <v/>
      </c>
      <c r="C45" s="12">
        <f>IFERROR(B45/B42,"")</f>
        <v/>
      </c>
      <c r="D45">
        <f>IF(C45="","",IF(C45&gt;=0.85,"On Target",IF(C45&gt;=0.7,"Below Target","Significantly Below")))</f>
        <v/>
      </c>
      <c r="E45" t="inlineStr">
        <is>
          <t>Original estimate for issues removed mid-sprint</t>
        </is>
      </c>
    </row>
    <row r="47">
      <c r="A47" s="2" t="inlineStr">
        <is>
          <t>Completed by Priority</t>
        </is>
      </c>
    </row>
    <row r="48" ht="28" customHeight="1">
      <c r="A48" s="13" t="inlineStr">
        <is>
          <t>Tickets (parents) = unique parent items (Story / Task / Defect / Escape Defect) — subtasks roll up to their parent so 1 parent + 3 subtasks = 1 ticket. Tickets (incl. subtasks) = raw record count incl. every Dev / QA / Automation / Review / Test Case Creation / Debug subtask. Hours = sum across parents and subtasks; matches the core-team Completed hours on the Per-person Delivery sheet.</t>
        </is>
      </c>
    </row>
    <row r="49">
      <c r="A49" s="3" t="inlineStr">
        <is>
          <t>Priority</t>
        </is>
      </c>
      <c r="B49" s="3" t="inlineStr">
        <is>
          <t>Tickets (parents)</t>
        </is>
      </c>
      <c r="C49" s="3" t="inlineStr">
        <is>
          <t>Tickets (incl. subtasks)</t>
        </is>
      </c>
      <c r="D49" s="3" t="inlineStr">
        <is>
          <t>Hours (incl. subtasks)</t>
        </is>
      </c>
      <c r="E49" s="3" t="inlineStr">
        <is>
          <t>% of Completed Hrs</t>
        </is>
      </c>
      <c r="F49" s="3" t="inlineStr">
        <is>
          <t>% of Tickets (parents)</t>
        </is>
      </c>
      <c r="G49" s="3" t="inlineStr">
        <is>
          <t>Notes</t>
        </is>
      </c>
    </row>
    <row r="50">
      <c r="A50" t="inlineStr">
        <is>
          <t>P1</t>
        </is>
      </c>
      <c r="B50" s="8" t="n">
        <v>12</v>
      </c>
      <c r="C50" s="8" t="n">
        <v>23</v>
      </c>
      <c r="D50" s="11" t="n">
        <v>87.15000000000001</v>
      </c>
      <c r="E50" s="12">
        <f>IFERROR(D50/546.1,"")</f>
        <v/>
      </c>
      <c r="F50" s="12">
        <f>IFERROR(B50/46,"")</f>
        <v/>
      </c>
      <c r="G50" s="14" t="inlineStr">
        <is>
          <t>P1 — high priority (see P1 Escalation tab for escalations)</t>
        </is>
      </c>
    </row>
    <row r="51">
      <c r="A51" t="inlineStr">
        <is>
          <t>P2</t>
        </is>
      </c>
      <c r="B51" s="8" t="n">
        <v>10</v>
      </c>
      <c r="C51" s="8" t="n">
        <v>30</v>
      </c>
      <c r="D51" s="11" t="n">
        <v>133.8</v>
      </c>
      <c r="E51" s="12">
        <f>IFERROR(D51/546.1,"")</f>
        <v/>
      </c>
      <c r="F51" s="12">
        <f>IFERROR(B51/46,"")</f>
        <v/>
      </c>
      <c r="G51" t="inlineStr">
        <is>
          <t>Major</t>
        </is>
      </c>
    </row>
    <row r="52">
      <c r="A52" t="inlineStr">
        <is>
          <t>P3</t>
        </is>
      </c>
      <c r="B52" s="8" t="n">
        <v>24</v>
      </c>
      <c r="C52" s="8" t="n">
        <v>45</v>
      </c>
      <c r="D52" s="11" t="n">
        <v>325.15</v>
      </c>
      <c r="E52" s="12">
        <f>IFERROR(D52/546.1,"")</f>
        <v/>
      </c>
      <c r="F52" s="12">
        <f>IFERROR(B52/46,"")</f>
        <v/>
      </c>
      <c r="G52" t="inlineStr">
        <is>
          <t>Standard</t>
        </is>
      </c>
    </row>
    <row r="53">
      <c r="A53" s="2" t="inlineStr">
        <is>
          <t>TOTAL</t>
        </is>
      </c>
      <c r="B53" s="8" t="n">
        <v>46</v>
      </c>
      <c r="C53" s="8" t="n">
        <v>98</v>
      </c>
      <c r="D53" s="11" t="n">
        <v>546.1</v>
      </c>
      <c r="E53" s="12" t="n">
        <v>1</v>
      </c>
      <c r="F53" s="12" t="n">
        <v>1</v>
      </c>
      <c r="G53" t="inlineStr">
        <is>
          <t>Sum of Completed bucket (core roster)</t>
        </is>
      </c>
    </row>
    <row r="55">
      <c r="A55" s="2" t="inlineStr">
        <is>
          <t>Sprint Completion (spillover = Not Completed)</t>
        </is>
      </c>
    </row>
    <row r="56">
      <c r="A56" s="3" t="inlineStr">
        <is>
          <t>Metric</t>
        </is>
      </c>
      <c r="B56" s="3" t="inlineStr">
        <is>
          <t>Tickets</t>
        </is>
      </c>
      <c r="C56" s="3" t="inlineStr">
        <is>
          <t>Planned Hrs (OE)</t>
        </is>
      </c>
      <c r="D56" s="3" t="inlineStr">
        <is>
          <t>% by Tickets</t>
        </is>
      </c>
      <c r="E56" s="3" t="inlineStr">
        <is>
          <t>% by Hrs</t>
        </is>
      </c>
      <c r="F56" s="3" t="inlineStr">
        <is>
          <t>Notes</t>
        </is>
      </c>
    </row>
    <row r="57">
      <c r="A57" t="inlineStr">
        <is>
          <t>Completed (closed in sprint)</t>
        </is>
      </c>
      <c r="B57" s="8" t="n">
        <v>98</v>
      </c>
      <c r="C57" s="11" t="n">
        <v>587.08</v>
      </c>
      <c r="D57" s="12">
        <f>IFERROR(98/111,"")</f>
        <v/>
      </c>
      <c r="E57" s="12">
        <f>IFERROR(587.08/587.58,"")</f>
        <v/>
      </c>
      <c r="F57" t="inlineStr">
        <is>
          <t>In-sprint deliverables</t>
        </is>
      </c>
    </row>
    <row r="58">
      <c r="A58" t="inlineStr">
        <is>
          <t>Spillover (not completed → carry-over)</t>
        </is>
      </c>
      <c r="B58" s="8" t="n">
        <v>13</v>
      </c>
      <c r="C58" s="11" t="n">
        <v>0.5</v>
      </c>
      <c r="D58" s="12">
        <f>IFERROR(13/111,"")</f>
        <v/>
      </c>
      <c r="E58" s="12">
        <f>IFERROR(0.5/587.58,"")</f>
        <v/>
      </c>
      <c r="F58" t="inlineStr">
        <is>
          <t>Original estimate carried to next sprint</t>
        </is>
      </c>
    </row>
    <row r="59">
      <c r="A59" t="inlineStr">
        <is>
          <t>Removed (mid-sprint scope cut)</t>
        </is>
      </c>
      <c r="B59" s="8" t="n">
        <v>13</v>
      </c>
      <c r="C59" s="11" t="n">
        <v>163</v>
      </c>
      <c r="D59" t="inlineStr">
        <is>
          <t>—</t>
        </is>
      </c>
      <c r="E59" t="inlineStr">
        <is>
          <t>—</t>
        </is>
      </c>
      <c r="F59" t="inlineStr">
        <is>
          <t>Excluded from completion ratio (out of scope)</t>
        </is>
      </c>
    </row>
    <row r="60">
      <c r="A60" t="inlineStr">
        <is>
          <t>Mid-sprint additions (core)</t>
        </is>
      </c>
      <c r="B60" s="8" t="n">
        <v>21</v>
      </c>
      <c r="D60" t="inlineStr">
        <is>
          <t>—</t>
        </is>
      </c>
      <c r="E60" t="inlineStr">
        <is>
          <t>—</t>
        </is>
      </c>
      <c r="F60" t="inlineStr">
        <is>
          <t>Late-arriving work (Jira issueKeysAddedDuringSprint)</t>
        </is>
      </c>
    </row>
    <row r="62">
      <c r="A62" s="2" t="inlineStr">
        <is>
          <t>Sprint completion rate (tickets)</t>
        </is>
      </c>
      <c r="B62" s="12" t="n">
        <v>0.8828828828828829</v>
      </c>
      <c r="C62" s="15" t="inlineStr">
        <is>
          <t>On Target</t>
        </is>
      </c>
      <c r="D62" s="16" t="inlineStr">
        <is>
          <t>Completed ÷ (Completed + Spillover)</t>
        </is>
      </c>
    </row>
    <row r="63">
      <c r="A63" s="2" t="inlineStr">
        <is>
          <t>Sprint completion rate (planned hrs)</t>
        </is>
      </c>
      <c r="B63" s="12" t="n">
        <v>0.999149052043977</v>
      </c>
      <c r="C63" s="15" t="inlineStr">
        <is>
          <t>On Target</t>
        </is>
      </c>
      <c r="D63" s="16" t="inlineStr">
        <is>
          <t>Σ OE Completed ÷ Σ OE (Completed + Spillover)</t>
        </is>
      </c>
    </row>
    <row r="64">
      <c r="A64" s="2" t="inlineStr">
        <is>
          <t>Planned completion rate (tickets, excludes mid-sprint adds)</t>
        </is>
      </c>
      <c r="B64" s="12" t="n">
        <v>0.8645833333333334</v>
      </c>
      <c r="C64" s="15" t="inlineStr">
        <is>
          <t>On Target</t>
        </is>
      </c>
      <c r="D64" s="16" t="inlineStr">
        <is>
          <t>Originally-committed tickets only</t>
        </is>
      </c>
    </row>
    <row r="65">
      <c r="A65" s="2" t="inlineStr">
        <is>
          <t>Planned completion rate (planned hrs, excludes mid-sprint adds)</t>
        </is>
      </c>
      <c r="B65" s="12" t="n">
        <v>0.9989626556016598</v>
      </c>
      <c r="C65" s="15" t="inlineStr">
        <is>
          <t>On Target</t>
        </is>
      </c>
      <c r="D65" s="16" t="inlineStr">
        <is>
          <t>Originally-committed planned hours only</t>
        </is>
      </c>
    </row>
    <row r="67">
      <c r="A67" s="17" t="inlineStr">
        <is>
          <t>P1 Escalation snapshot</t>
        </is>
      </c>
    </row>
    <row r="68">
      <c r="A68" s="14" t="inlineStr">
        <is>
          <t>9 ticket(s) in sprint-Arthur match 'P1 Escalation' in the title — 9 closed, 0 still open. See the 'P1 Escalation' tab.</t>
        </is>
      </c>
    </row>
    <row r="70">
      <c r="A70" s="18" t="inlineStr">
        <is>
          <t>Mid-sprint additions snapshot</t>
        </is>
      </c>
    </row>
    <row r="71" ht="36" customHeight="1">
      <c r="A71" s="19" t="inlineStr">
        <is>
          <t>21 ticket(s) were added to sprint-Arthur after it started (issueKeysAddedDuringSprint) — Completed 15, Spillover 0, Removed 6. Highlighted in amber on every detail sheet (Added Mid-Sprint = YES).</t>
        </is>
      </c>
    </row>
    <row r="73">
      <c r="A73" s="2" t="inlineStr">
        <is>
          <t>Assumptions &amp; caveats</t>
        </is>
      </c>
    </row>
    <row r="74" ht="32" customHeight="1">
      <c r="A74" s="20" t="inlineStr">
        <is>
          <t>• Sprint window from Jira (/rest/agile/1.0/sprint/4666): 2026-01-06 → 2026-01-19 (10 Mon–Fri working days). Refresh with fetch_filter_sprint_meta.py + fetch_filter_sprint_issues.py.</t>
        </is>
      </c>
    </row>
    <row r="75" ht="32" customHeight="1">
      <c r="A75" s="20" t="inlineStr">
        <is>
          <t>• Issues pulled from FILTER + PTGM + FDSE (project-scope expanded for the India scrum team's split across the three products).</t>
        </is>
      </c>
    </row>
    <row r="76" ht="32" customHeight="1">
      <c r="A76" s="20" t="inlineStr">
        <is>
          <t>• Date-aware roster: Amol Mithari joined 20-Feb-2026; Rachit Mishra's last day was 20-Feb-2026. Inactive members for this sprint window are shaded grey in the Team Composition table and excluded from per-person availability + delivery.</t>
        </is>
      </c>
    </row>
    <row r="77" ht="32" customHeight="1">
      <c r="A77" s="20" t="inlineStr">
        <is>
          <t>• Available (hrs) = (effective working days − leave days) × 8 × focus factor, where effective working days = sprint working days − company holidays falling inside the sprint − days outside the person's employment window. Per-person Delivery shows leave days in Column G to explain the delta from a full sprint.</t>
        </is>
      </c>
    </row>
    <row r="78" ht="32" customHeight="1">
      <c r="A78" s="20" t="inlineStr">
        <is>
          <t>• Net Available = Available − 20% Misc Buffer for meetings, scrums, code review, etc. Completed/Not Completed/Removed % of capacity use Net Available as the denominator.</t>
        </is>
      </c>
    </row>
    <row r="79" ht="32" customHeight="1">
      <c r="A79" s="20" t="inlineStr">
        <is>
          <t>• Time Spent on Completed sheet uses the in-sprint hybrid worklog rule (sprint-analysis.md): single-sprint = timespent; multi-sprint = SUM of worklogs whose started ∈ [sprintStart, sprintEnd].</t>
        </is>
      </c>
    </row>
    <row r="80" ht="32" customHeight="1">
      <c r="A80" s="20" t="inlineStr">
        <is>
          <t>• Not Completed and Removed totals use Original Estimate.</t>
        </is>
      </c>
    </row>
    <row r="81" ht="32" customHeight="1">
      <c r="A81" s="20" t="inlineStr">
        <is>
          <t>• Removed list comes from the Sprint Report puntedIssues (greenhopper API).</t>
        </is>
      </c>
    </row>
    <row r="82" ht="32" customHeight="1">
      <c r="A82" s="20" t="inlineStr">
        <is>
          <t>• Core roster only: assignees outside Securly-PjM-Skills.md Part 2 are dropped from per-person + detail sheets.</t>
        </is>
      </c>
    </row>
    <row r="83" ht="32" customHeight="1">
      <c r="A83" s="20" t="inlineStr">
        <is>
          <t>• P1 Escalation tab is filtered to Issue Type = Escape Defect AND Priority = P1 AND title contains 'P1 Escalation'.</t>
        </is>
      </c>
    </row>
    <row r="84" ht="32" customHeight="1">
      <c r="A84" s="20" t="inlineStr">
        <is>
          <t>• Completed by Priority — Tickets (parents) rolls subtasks up to their parent (each work item counted once at its parent priority); Tickets (incl. subtasks) shows the raw record count for comparison. The Hours column sums every record (parent + subtasks) and matches the core-team Completed total.</t>
        </is>
      </c>
    </row>
    <row r="85" ht="32" customHeight="1">
      <c r="A85" s="20" t="inlineStr">
        <is>
          <t>• Spillover = Not Completed bucket (tickets carried into the next sprint).</t>
        </is>
      </c>
    </row>
    <row r="86" ht="32" customHeight="1">
      <c r="A86" s="20" t="inlineStr">
        <is>
          <t>• Sprint completion rate uses Completed ÷ (Completed + Spillover); Removed tickets are excluded (treated as scope cut). 'Planned' rate also excludes mid-sprint additions.</t>
        </is>
      </c>
    </row>
    <row r="87" ht="32" customHeight="1">
      <c r="A87" s="20" t="inlineStr">
        <is>
          <t>• All detail sheets (Completed, Not Completed, Removed) highlight tickets added after sprint start (Jira sprint-report issueKeysAddedDuringSprint) in amber, with an 'Added Mid-Sprint = YES' tag column.</t>
        </is>
      </c>
    </row>
    <row r="88" ht="32" customHeight="1">
      <c r="A88" s="20" t="inlineStr">
        <is>
          <t>• Ratings: ≥85% On Target (green), 70–85% Below Target (amber), &lt;70% Significantly Below (red).</t>
        </is>
      </c>
    </row>
  </sheetData>
  <mergeCells count="30">
    <mergeCell ref="A38:G38"/>
    <mergeCell ref="D64:G64"/>
    <mergeCell ref="A81:G81"/>
    <mergeCell ref="A68:G68"/>
    <mergeCell ref="A67:G67"/>
    <mergeCell ref="A77:G77"/>
    <mergeCell ref="A83:G83"/>
    <mergeCell ref="A48:G48"/>
    <mergeCell ref="D63:G63"/>
    <mergeCell ref="A82:G82"/>
    <mergeCell ref="A1:G1"/>
    <mergeCell ref="D65:G65"/>
    <mergeCell ref="A70:G70"/>
    <mergeCell ref="A79:G79"/>
    <mergeCell ref="A88:G88"/>
    <mergeCell ref="A87:G87"/>
    <mergeCell ref="A78:G78"/>
    <mergeCell ref="A25:G25"/>
    <mergeCell ref="A75:G75"/>
    <mergeCell ref="A84:G84"/>
    <mergeCell ref="A85:G85"/>
    <mergeCell ref="A74:G74"/>
    <mergeCell ref="A80:G80"/>
    <mergeCell ref="A55:G55"/>
    <mergeCell ref="A2:G2"/>
    <mergeCell ref="A86:G86"/>
    <mergeCell ref="A76:G76"/>
    <mergeCell ref="A71:G71"/>
    <mergeCell ref="A47:G47"/>
    <mergeCell ref="D62:G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6" customWidth="1" min="9" max="9"/>
  </cols>
  <sheetData>
    <row r="1" ht="32" customHeight="1">
      <c r="A1" s="21" t="inlineStr">
        <is>
          <t>Assignee</t>
        </is>
      </c>
      <c r="B1" s="21" t="inlineStr">
        <is>
          <t>Completed (hrs)</t>
        </is>
      </c>
      <c r="C1" s="21" t="inlineStr">
        <is>
          <t>Not Completed (hrs)</t>
        </is>
      </c>
      <c r="D1" s="21" t="inlineStr">
        <is>
          <t>Removed (hrs)</t>
        </is>
      </c>
      <c r="E1" s="21" t="inlineStr">
        <is>
          <t>Efficiency</t>
        </is>
      </c>
      <c r="F1" s="21" t="inlineStr">
        <is>
          <t>Available (hrs)</t>
        </is>
      </c>
      <c r="G1" s="21" t="inlineStr">
        <is>
          <t>Leave Days (sprint)</t>
        </is>
      </c>
      <c r="H1" s="21" t="inlineStr">
        <is>
          <t>Misc Buffer 20% (hrs)</t>
        </is>
      </c>
      <c r="I1" s="21" t="inlineStr">
        <is>
          <t>Net Available (hrs)</t>
        </is>
      </c>
    </row>
    <row r="2">
      <c r="A2" t="inlineStr">
        <is>
          <t>Harsh Verma</t>
        </is>
      </c>
      <c r="B2" s="11" t="n">
        <v>61</v>
      </c>
      <c r="C2" s="11" t="n">
        <v>0</v>
      </c>
      <c r="D2" s="11" t="n">
        <v>8</v>
      </c>
      <c r="E2" s="12">
        <f>IFERROR(B2/I2,"")</f>
        <v/>
      </c>
      <c r="F2" s="11" t="n">
        <v>72</v>
      </c>
      <c r="G2" s="8" t="n">
        <v>0</v>
      </c>
      <c r="H2" s="11">
        <f>F2*0.2</f>
        <v/>
      </c>
      <c r="I2" s="11">
        <f>F2-H2</f>
        <v/>
      </c>
    </row>
    <row r="3">
      <c r="A3" t="inlineStr">
        <is>
          <t>Arun Thakur</t>
        </is>
      </c>
      <c r="B3" s="11" t="n">
        <v>5</v>
      </c>
      <c r="C3" s="11" t="n">
        <v>0.5</v>
      </c>
      <c r="D3" s="11" t="n">
        <v>0</v>
      </c>
      <c r="E3" s="12">
        <f>IFERROR(B3/I3,"")</f>
        <v/>
      </c>
      <c r="F3" s="11" t="n">
        <v>64.8</v>
      </c>
      <c r="G3" s="8" t="n">
        <v>1</v>
      </c>
      <c r="H3" s="11">
        <f>F3*0.2</f>
        <v/>
      </c>
      <c r="I3" s="11">
        <f>F3-H3</f>
        <v/>
      </c>
    </row>
    <row r="4">
      <c r="A4" t="inlineStr">
        <is>
          <t>Harshada Kude</t>
        </is>
      </c>
      <c r="B4" s="11" t="n">
        <v>52</v>
      </c>
      <c r="C4" s="11" t="n">
        <v>0</v>
      </c>
      <c r="D4" s="11" t="n">
        <v>32</v>
      </c>
      <c r="E4" s="12">
        <f>IFERROR(B4/I4,"")</f>
        <v/>
      </c>
      <c r="F4" s="11" t="n">
        <v>72</v>
      </c>
      <c r="G4" s="8" t="n">
        <v>0</v>
      </c>
      <c r="H4" s="11">
        <f>F4*0.2</f>
        <v/>
      </c>
      <c r="I4" s="11">
        <f>F4-H4</f>
        <v/>
      </c>
    </row>
    <row r="5">
      <c r="A5" t="inlineStr">
        <is>
          <t>Shailendra Singh</t>
        </is>
      </c>
      <c r="B5" s="11" t="n">
        <v>50</v>
      </c>
      <c r="C5" s="11" t="n">
        <v>0</v>
      </c>
      <c r="D5" s="11" t="n">
        <v>60</v>
      </c>
      <c r="E5" s="12">
        <f>IFERROR(B5/I5,"")</f>
        <v/>
      </c>
      <c r="F5" s="11" t="n">
        <v>64.8</v>
      </c>
      <c r="G5" s="8" t="n">
        <v>1</v>
      </c>
      <c r="H5" s="11">
        <f>F5*0.2</f>
        <v/>
      </c>
      <c r="I5" s="11">
        <f>F5-H5</f>
        <v/>
      </c>
    </row>
    <row r="6">
      <c r="A6" t="inlineStr">
        <is>
          <t>Swaroop Chavhan</t>
        </is>
      </c>
      <c r="B6" s="11" t="n">
        <v>0</v>
      </c>
      <c r="C6" s="11" t="n">
        <v>0</v>
      </c>
      <c r="D6" s="11" t="n">
        <v>52</v>
      </c>
      <c r="E6" s="12">
        <f>IFERROR(B6/I6,"")</f>
        <v/>
      </c>
      <c r="F6" s="11" t="n">
        <v>64.8</v>
      </c>
      <c r="G6" s="8" t="n">
        <v>1</v>
      </c>
      <c r="H6" s="11">
        <f>F6*0.2</f>
        <v/>
      </c>
      <c r="I6" s="11">
        <f>F6-H6</f>
        <v/>
      </c>
    </row>
    <row r="7">
      <c r="A7" t="inlineStr">
        <is>
          <t>Ashish Modak</t>
        </is>
      </c>
      <c r="B7" s="11" t="n">
        <v>6</v>
      </c>
      <c r="C7" s="11" t="n">
        <v>0</v>
      </c>
      <c r="D7" s="11" t="n">
        <v>0</v>
      </c>
      <c r="E7" s="12">
        <f>IFERROR(B7/I7,"")</f>
        <v/>
      </c>
      <c r="F7" s="11" t="n">
        <v>43.2</v>
      </c>
      <c r="G7" s="8" t="n">
        <v>4</v>
      </c>
      <c r="H7" s="11">
        <f>F7*0.2</f>
        <v/>
      </c>
      <c r="I7" s="11">
        <f>F7-H7</f>
        <v/>
      </c>
    </row>
    <row r="8">
      <c r="A8" t="inlineStr">
        <is>
          <t>Prateek Fotedar</t>
        </is>
      </c>
      <c r="B8" s="11" t="n">
        <v>45</v>
      </c>
      <c r="C8" s="11" t="n">
        <v>0</v>
      </c>
      <c r="D8" s="11" t="n">
        <v>0</v>
      </c>
      <c r="E8" s="12">
        <f>IFERROR(B8/I8,"")</f>
        <v/>
      </c>
      <c r="F8" s="11" t="n">
        <v>72</v>
      </c>
      <c r="G8" s="8" t="n">
        <v>0</v>
      </c>
      <c r="H8" s="11">
        <f>F8*0.2</f>
        <v/>
      </c>
      <c r="I8" s="11">
        <f>F8-H8</f>
        <v/>
      </c>
    </row>
    <row r="9">
      <c r="A9" t="inlineStr">
        <is>
          <t>Sagar Satpute</t>
        </is>
      </c>
      <c r="B9" s="11" t="n">
        <v>18</v>
      </c>
      <c r="C9" s="11" t="n">
        <v>0</v>
      </c>
      <c r="D9" s="11" t="n">
        <v>0</v>
      </c>
      <c r="E9" s="12">
        <f>IFERROR(B9/I9,"")</f>
        <v/>
      </c>
      <c r="F9" s="11" t="n">
        <v>72</v>
      </c>
      <c r="G9" s="8" t="n">
        <v>0</v>
      </c>
      <c r="H9" s="11">
        <f>F9*0.2</f>
        <v/>
      </c>
      <c r="I9" s="11">
        <f>F9-H9</f>
        <v/>
      </c>
    </row>
    <row r="10">
      <c r="A10" t="inlineStr">
        <is>
          <t>Vaibhav Kumbhar</t>
        </is>
      </c>
      <c r="B10" s="11" t="n">
        <v>39</v>
      </c>
      <c r="C10" s="11" t="n">
        <v>0</v>
      </c>
      <c r="D10" s="11" t="n">
        <v>0</v>
      </c>
      <c r="E10" s="12">
        <f>IFERROR(B10/I10,"")</f>
        <v/>
      </c>
      <c r="F10" s="11" t="n">
        <v>72</v>
      </c>
      <c r="G10" s="8" t="n">
        <v>0</v>
      </c>
      <c r="H10" s="11">
        <f>F10*0.2</f>
        <v/>
      </c>
      <c r="I10" s="11">
        <f>F10-H10</f>
        <v/>
      </c>
    </row>
    <row r="11">
      <c r="A11" t="inlineStr">
        <is>
          <t>Ashish Temurnikar</t>
        </is>
      </c>
      <c r="B11" s="11" t="n">
        <v>41</v>
      </c>
      <c r="C11" s="11" t="n">
        <v>0</v>
      </c>
      <c r="D11" s="11" t="n">
        <v>0</v>
      </c>
      <c r="E11" s="12">
        <f>IFERROR(B11/I11,"")</f>
        <v/>
      </c>
      <c r="F11" s="11" t="n">
        <v>72</v>
      </c>
      <c r="G11" s="8" t="n">
        <v>0</v>
      </c>
      <c r="H11" s="11">
        <f>F11*0.2</f>
        <v/>
      </c>
      <c r="I11" s="11">
        <f>F11-H11</f>
        <v/>
      </c>
    </row>
    <row r="12">
      <c r="A12" t="inlineStr">
        <is>
          <t>Ravi Raj</t>
        </is>
      </c>
      <c r="B12" s="11" t="n">
        <v>90</v>
      </c>
      <c r="C12" s="11" t="n">
        <v>0</v>
      </c>
      <c r="D12" s="11" t="n">
        <v>1</v>
      </c>
      <c r="E12" s="12">
        <f>IFERROR(B12/I12,"")</f>
        <v/>
      </c>
      <c r="F12" s="11" t="n">
        <v>72</v>
      </c>
      <c r="G12" s="8" t="n">
        <v>0</v>
      </c>
      <c r="H12" s="11">
        <f>F12*0.2</f>
        <v/>
      </c>
      <c r="I12" s="11">
        <f>F12-H12</f>
        <v/>
      </c>
    </row>
    <row r="13">
      <c r="A13" t="inlineStr">
        <is>
          <t>Pratik Tiwari</t>
        </is>
      </c>
      <c r="B13" s="11" t="n">
        <v>28</v>
      </c>
      <c r="C13" s="11" t="n">
        <v>0</v>
      </c>
      <c r="D13" s="11" t="n">
        <v>10</v>
      </c>
      <c r="E13" s="12">
        <f>IFERROR(B13/I13,"")</f>
        <v/>
      </c>
      <c r="F13" s="11" t="n">
        <v>72</v>
      </c>
      <c r="G13" s="8" t="n">
        <v>0</v>
      </c>
      <c r="H13" s="11">
        <f>F13*0.2</f>
        <v/>
      </c>
      <c r="I13" s="11">
        <f>F13-H13</f>
        <v/>
      </c>
    </row>
    <row r="14">
      <c r="A14" t="inlineStr">
        <is>
          <t>Altamash Heroli</t>
        </is>
      </c>
      <c r="B14" s="11" t="n">
        <v>23.5</v>
      </c>
      <c r="C14" s="11" t="n">
        <v>0</v>
      </c>
      <c r="D14" s="11" t="n">
        <v>0</v>
      </c>
      <c r="E14" s="12">
        <f>IFERROR(B14/I14,"")</f>
        <v/>
      </c>
      <c r="F14" s="11" t="n">
        <v>72</v>
      </c>
      <c r="G14" s="8" t="n">
        <v>0</v>
      </c>
      <c r="H14" s="11">
        <f>F14*0.2</f>
        <v/>
      </c>
      <c r="I14" s="11">
        <f>F14-H14</f>
        <v/>
      </c>
    </row>
    <row r="15">
      <c r="A15" t="inlineStr">
        <is>
          <t>Surabhi Choudhary</t>
        </is>
      </c>
      <c r="B15" s="11" t="n">
        <v>27.5</v>
      </c>
      <c r="C15" s="11" t="n">
        <v>0</v>
      </c>
      <c r="D15" s="11" t="n">
        <v>0</v>
      </c>
      <c r="E15" s="12">
        <f>IFERROR(B15/I15,"")</f>
        <v/>
      </c>
      <c r="F15" s="11" t="n">
        <v>72</v>
      </c>
      <c r="G15" s="8" t="n">
        <v>0</v>
      </c>
      <c r="H15" s="11">
        <f>F15*0.2</f>
        <v/>
      </c>
      <c r="I15" s="11">
        <f>F15-H15</f>
        <v/>
      </c>
    </row>
    <row r="16">
      <c r="A16" t="inlineStr">
        <is>
          <t>Ayesha Kamde</t>
        </is>
      </c>
      <c r="B16" s="11" t="n">
        <v>25.1</v>
      </c>
      <c r="C16" s="11" t="n">
        <v>0</v>
      </c>
      <c r="D16" s="11" t="n">
        <v>0</v>
      </c>
      <c r="E16" s="12">
        <f>IFERROR(B16/I16,"")</f>
        <v/>
      </c>
      <c r="F16" s="11" t="n">
        <v>64.8</v>
      </c>
      <c r="G16" s="8" t="n">
        <v>1</v>
      </c>
      <c r="H16" s="11">
        <f>F16*0.2</f>
        <v/>
      </c>
      <c r="I16" s="11">
        <f>F16-H16</f>
        <v/>
      </c>
    </row>
    <row r="17">
      <c r="A17" t="inlineStr">
        <is>
          <t>Amit Shete</t>
        </is>
      </c>
      <c r="B17" s="11" t="n">
        <v>18.5</v>
      </c>
      <c r="C17" s="11" t="n">
        <v>0</v>
      </c>
      <c r="D17" s="11" t="n">
        <v>0</v>
      </c>
      <c r="E17" s="12">
        <f>IFERROR(B17/I17,"")</f>
        <v/>
      </c>
      <c r="F17" s="11" t="n">
        <v>64.8</v>
      </c>
      <c r="G17" s="8" t="n">
        <v>1</v>
      </c>
      <c r="H17" s="11">
        <f>F17*0.2</f>
        <v/>
      </c>
      <c r="I17" s="11">
        <f>F17-H17</f>
        <v/>
      </c>
    </row>
    <row r="18">
      <c r="A18" t="inlineStr">
        <is>
          <t>Rachit Mishra</t>
        </is>
      </c>
      <c r="B18" s="11" t="n">
        <v>16.5</v>
      </c>
      <c r="C18" s="11" t="n">
        <v>0</v>
      </c>
      <c r="D18" s="11" t="n">
        <v>0</v>
      </c>
      <c r="E18" s="12">
        <f>IFERROR(B18/I18,"")</f>
        <v/>
      </c>
      <c r="F18" s="11" t="n">
        <v>64.8</v>
      </c>
      <c r="G18" s="8" t="n">
        <v>1</v>
      </c>
      <c r="H18" s="11">
        <f>F18*0.2</f>
        <v/>
      </c>
      <c r="I18" s="11">
        <f>F18-H18</f>
        <v/>
      </c>
    </row>
    <row r="19">
      <c r="A19" s="2" t="inlineStr">
        <is>
          <t>TOTAL</t>
        </is>
      </c>
      <c r="B19" s="11">
        <f>SUM(B2:B18)</f>
        <v/>
      </c>
      <c r="C19" s="11">
        <f>SUM(C2:C18)</f>
        <v/>
      </c>
      <c r="D19" s="11">
        <f>SUM(D2:D18)</f>
        <v/>
      </c>
      <c r="E19" s="12">
        <f>IFERROR(B19/I19,"")</f>
        <v/>
      </c>
      <c r="F19" s="11">
        <f>SUM(F2:F18)</f>
        <v/>
      </c>
      <c r="G19" s="8">
        <f>SUM(G2:G18)</f>
        <v/>
      </c>
      <c r="H19" s="11">
        <f>SUM(H2:H18)</f>
        <v/>
      </c>
      <c r="I19" s="11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Debug</t>
        </is>
      </c>
      <c r="B2" s="23" t="inlineStr">
        <is>
          <t>FILTER-11621</t>
        </is>
      </c>
      <c r="C2" s="24" t="inlineStr">
        <is>
          <t>Debug and analyse latest config.json for uk.pinterest.com</t>
        </is>
      </c>
      <c r="D2" s="22" t="inlineStr"/>
      <c r="E2" s="22" t="inlineStr"/>
      <c r="F2" s="22" t="inlineStr">
        <is>
          <t>Arun Thakur</t>
        </is>
      </c>
      <c r="G2" s="22" t="inlineStr">
        <is>
          <t>Closed</t>
        </is>
      </c>
      <c r="H2" s="22" t="inlineStr">
        <is>
          <t>Fixed</t>
        </is>
      </c>
      <c r="I2" s="22" t="inlineStr">
        <is>
          <t>P3</t>
        </is>
      </c>
      <c r="J2" s="25" t="n">
        <v>46034</v>
      </c>
      <c r="K2" s="25" t="n">
        <v>46034</v>
      </c>
      <c r="L2" s="25" t="n">
        <v>46054</v>
      </c>
      <c r="M2" s="22" t="inlineStr">
        <is>
          <t>sprint-Arthur</t>
        </is>
      </c>
      <c r="N2" s="26" t="n">
        <v>5</v>
      </c>
      <c r="O2" s="26" t="n">
        <v>6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s="22" t="inlineStr">
        <is>
          <t>Task</t>
        </is>
      </c>
      <c r="B3" s="23" t="inlineStr">
        <is>
          <t>FILTER-11608</t>
        </is>
      </c>
      <c r="C3" s="24" t="inlineStr">
        <is>
          <t>Squid coredump issue on Ohio</t>
        </is>
      </c>
      <c r="D3" s="22" t="inlineStr"/>
      <c r="E3" s="22" t="inlineStr"/>
      <c r="F3" s="22" t="inlineStr">
        <is>
          <t>Ashish Temurnikar</t>
        </is>
      </c>
      <c r="G3" s="22" t="inlineStr">
        <is>
          <t>RELEASED TO PROD</t>
        </is>
      </c>
      <c r="H3" s="22" t="inlineStr"/>
      <c r="I3" s="22" t="inlineStr">
        <is>
          <t>P1</t>
        </is>
      </c>
      <c r="J3" s="25" t="n">
        <v>46030</v>
      </c>
      <c r="K3" s="22" t="n"/>
      <c r="L3" s="25" t="n">
        <v>46062</v>
      </c>
      <c r="M3" s="22" t="inlineStr">
        <is>
          <t>sprint-Arthur</t>
        </is>
      </c>
      <c r="N3" s="26" t="n">
        <v>6</v>
      </c>
      <c r="O3" s="26" t="n">
        <v>1</v>
      </c>
      <c r="P3" s="22" t="inlineStr">
        <is>
          <t>FILTER</t>
        </is>
      </c>
      <c r="Q3" s="22" t="inlineStr">
        <is>
          <t>unplanned-sprint</t>
        </is>
      </c>
      <c r="R3" s="22" t="inlineStr"/>
      <c r="S3" s="27" t="inlineStr">
        <is>
          <t>YES</t>
        </is>
      </c>
    </row>
    <row r="4">
      <c r="A4" s="22" t="inlineStr">
        <is>
          <t>Debug</t>
        </is>
      </c>
      <c r="B4" s="23" t="inlineStr">
        <is>
          <t>FILTER-11646</t>
        </is>
      </c>
      <c r="C4" s="24" t="inlineStr">
        <is>
          <t>Initial debugging for FILTER-11644</t>
        </is>
      </c>
      <c r="D4" s="22" t="inlineStr"/>
      <c r="E4" s="22" t="inlineStr"/>
      <c r="F4" s="22" t="inlineStr">
        <is>
          <t>Ashish Temurnikar</t>
        </is>
      </c>
      <c r="G4" s="22" t="inlineStr">
        <is>
          <t>Closed</t>
        </is>
      </c>
      <c r="H4" s="22" t="inlineStr"/>
      <c r="I4" s="22" t="inlineStr">
        <is>
          <t>P2</t>
        </is>
      </c>
      <c r="J4" s="25" t="n">
        <v>46037</v>
      </c>
      <c r="K4" s="22" t="n"/>
      <c r="L4" s="25" t="n">
        <v>46041</v>
      </c>
      <c r="M4" s="22" t="inlineStr">
        <is>
          <t>sprint-Arthur</t>
        </is>
      </c>
      <c r="N4" s="26" t="n">
        <v>10</v>
      </c>
      <c r="O4" s="26" t="n">
        <v>8</v>
      </c>
      <c r="P4" s="22" t="inlineStr">
        <is>
          <t>FILTER</t>
        </is>
      </c>
      <c r="Q4" s="22" t="inlineStr">
        <is>
          <t>unplanned-sprint</t>
        </is>
      </c>
      <c r="R4" s="22" t="inlineStr"/>
      <c r="S4" s="27" t="inlineStr">
        <is>
          <t>YES</t>
        </is>
      </c>
    </row>
    <row r="5">
      <c r="A5" s="22" t="inlineStr">
        <is>
          <t>Task</t>
        </is>
      </c>
      <c r="B5" s="23" t="inlineStr">
        <is>
          <t>FDSE-143</t>
        </is>
      </c>
      <c r="C5" s="24" t="inlineStr">
        <is>
          <t>Improved packaging system to accommodate SDK and Dev kit for re-usability and easy consumption</t>
        </is>
      </c>
      <c r="D5" s="22" t="inlineStr"/>
      <c r="E5" s="22" t="inlineStr"/>
      <c r="F5" s="22" t="inlineStr">
        <is>
          <t>Harsh Verma</t>
        </is>
      </c>
      <c r="G5" s="22" t="inlineStr">
        <is>
          <t>Closed</t>
        </is>
      </c>
      <c r="H5" s="22" t="inlineStr">
        <is>
          <t>Done</t>
        </is>
      </c>
      <c r="I5" s="22" t="inlineStr">
        <is>
          <t>P3</t>
        </is>
      </c>
      <c r="J5" s="25" t="n">
        <v>46027</v>
      </c>
      <c r="K5" s="25" t="n">
        <v>46029</v>
      </c>
      <c r="L5" s="25" t="n">
        <v>46054</v>
      </c>
      <c r="M5" s="22" t="inlineStr">
        <is>
          <t>sprint-Arthur</t>
        </is>
      </c>
      <c r="N5" s="26" t="n">
        <v>16</v>
      </c>
      <c r="O5" s="26" t="n">
        <v>24</v>
      </c>
      <c r="P5" s="22" t="inlineStr">
        <is>
          <t>FDSE</t>
        </is>
      </c>
      <c r="Q5" s="22" t="inlineStr">
        <is>
          <t>product-filter</t>
        </is>
      </c>
      <c r="R5" s="22" t="inlineStr"/>
      <c r="S5" s="27" t="inlineStr">
        <is>
          <t>YES</t>
        </is>
      </c>
    </row>
    <row r="6">
      <c r="A6" s="22" t="inlineStr">
        <is>
          <t>Task</t>
        </is>
      </c>
      <c r="B6" s="23" t="inlineStr">
        <is>
          <t>FILTER-11588</t>
        </is>
      </c>
      <c r="C6" s="24" t="inlineStr">
        <is>
          <t>Helping classroom team for PR review and Technical discussions</t>
        </is>
      </c>
      <c r="D6" s="22" t="inlineStr"/>
      <c r="E6" s="22" t="inlineStr"/>
      <c r="F6" s="22" t="inlineStr">
        <is>
          <t>Harsh Verma</t>
        </is>
      </c>
      <c r="G6" s="22" t="inlineStr">
        <is>
          <t>Closed</t>
        </is>
      </c>
      <c r="H6" s="22" t="inlineStr"/>
      <c r="I6" s="22" t="inlineStr">
        <is>
          <t>P3</t>
        </is>
      </c>
      <c r="J6" s="25" t="n">
        <v>46027</v>
      </c>
      <c r="K6" s="22" t="n"/>
      <c r="L6" s="25" t="n">
        <v>46054</v>
      </c>
      <c r="M6" s="22" t="inlineStr">
        <is>
          <t>sprint-Arthur</t>
        </is>
      </c>
      <c r="N6" s="26" t="n">
        <v>5</v>
      </c>
      <c r="O6" s="26" t="n">
        <v>4</v>
      </c>
      <c r="P6" s="22" t="inlineStr">
        <is>
          <t>FILTER</t>
        </is>
      </c>
      <c r="Q6" s="22" t="inlineStr">
        <is>
          <t>unplanned-sprint</t>
        </is>
      </c>
      <c r="R6" s="22" t="inlineStr"/>
      <c r="S6" s="27" t="inlineStr">
        <is>
          <t>YES</t>
        </is>
      </c>
    </row>
    <row r="7">
      <c r="A7" s="22" t="inlineStr">
        <is>
          <t>Task</t>
        </is>
      </c>
      <c r="B7" s="23" t="inlineStr">
        <is>
          <t>FILTER-11589</t>
        </is>
      </c>
      <c r="C7" s="24" t="inlineStr">
        <is>
          <t>Helping Home Team for the overall architecture of Parent Portal design Revamp and and AI Chat for their dashobard requirement</t>
        </is>
      </c>
      <c r="D7" s="22" t="inlineStr"/>
      <c r="E7" s="22" t="inlineStr"/>
      <c r="F7" s="22" t="inlineStr">
        <is>
          <t>Harsh Verma</t>
        </is>
      </c>
      <c r="G7" s="22" t="inlineStr">
        <is>
          <t>Closed</t>
        </is>
      </c>
      <c r="H7" s="22" t="inlineStr"/>
      <c r="I7" s="22" t="inlineStr">
        <is>
          <t>P3</t>
        </is>
      </c>
      <c r="J7" s="25" t="n">
        <v>46027</v>
      </c>
      <c r="K7" s="22" t="n"/>
      <c r="L7" s="25" t="n">
        <v>46054</v>
      </c>
      <c r="M7" s="22" t="inlineStr">
        <is>
          <t>sprint-Arthur</t>
        </is>
      </c>
      <c r="N7" s="26" t="n">
        <v>24</v>
      </c>
      <c r="O7" s="26" t="n">
        <v>24</v>
      </c>
      <c r="P7" s="22" t="inlineStr">
        <is>
          <t>FILTER</t>
        </is>
      </c>
      <c r="Q7" s="22" t="inlineStr">
        <is>
          <t>unplanned-sprint</t>
        </is>
      </c>
      <c r="R7" s="22" t="inlineStr"/>
      <c r="S7" s="27" t="inlineStr">
        <is>
          <t>YES</t>
        </is>
      </c>
    </row>
    <row r="8">
      <c r="A8" s="22" t="inlineStr">
        <is>
          <t>Task</t>
        </is>
      </c>
      <c r="B8" s="23" t="inlineStr">
        <is>
          <t>FILTER-11605</t>
        </is>
      </c>
      <c r="C8" s="24" t="inlineStr">
        <is>
          <t>Create a plan to improve the performance of Angular applications</t>
        </is>
      </c>
      <c r="D8" s="22" t="inlineStr"/>
      <c r="E8" s="22" t="inlineStr"/>
      <c r="F8" s="22" t="inlineStr">
        <is>
          <t>Harsh Verma</t>
        </is>
      </c>
      <c r="G8" s="22" t="inlineStr">
        <is>
          <t>Closed</t>
        </is>
      </c>
      <c r="H8" s="22" t="inlineStr"/>
      <c r="I8" s="22" t="inlineStr">
        <is>
          <t>P3</t>
        </is>
      </c>
      <c r="J8" s="25" t="n">
        <v>46030</v>
      </c>
      <c r="K8" s="22" t="n"/>
      <c r="L8" s="25" t="n">
        <v>46054</v>
      </c>
      <c r="M8" s="22" t="inlineStr">
        <is>
          <t>sprint-Arthur</t>
        </is>
      </c>
      <c r="N8" s="26" t="n">
        <v>16</v>
      </c>
      <c r="O8" s="26" t="n">
        <v>24</v>
      </c>
      <c r="P8" s="22" t="inlineStr">
        <is>
          <t>FILTER</t>
        </is>
      </c>
      <c r="Q8" s="22" t="inlineStr">
        <is>
          <t>unplanned-sprint</t>
        </is>
      </c>
      <c r="R8" s="22" t="inlineStr"/>
      <c r="S8" s="27" t="inlineStr">
        <is>
          <t>YES</t>
        </is>
      </c>
    </row>
    <row r="9">
      <c r="A9" s="22" t="inlineStr">
        <is>
          <t>Defect</t>
        </is>
      </c>
      <c r="B9" s="23" t="inlineStr">
        <is>
          <t>FILTER-11604</t>
        </is>
      </c>
      <c r="C9" s="24" t="inlineStr">
        <is>
          <t>Issue in the custom list link API</t>
        </is>
      </c>
      <c r="D9" s="22" t="inlineStr">
        <is>
          <t>FILTER-3618</t>
        </is>
      </c>
      <c r="E9" s="22" t="inlineStr">
        <is>
          <t>Epic</t>
        </is>
      </c>
      <c r="F9" s="22" t="inlineStr">
        <is>
          <t>Prateek Fotedar</t>
        </is>
      </c>
      <c r="G9" s="22" t="inlineStr">
        <is>
          <t>RELEASED TO PROD</t>
        </is>
      </c>
      <c r="H9" s="22" t="inlineStr"/>
      <c r="I9" s="22" t="inlineStr">
        <is>
          <t>P3</t>
        </is>
      </c>
      <c r="J9" s="25" t="n">
        <v>46030</v>
      </c>
      <c r="K9" s="22" t="n"/>
      <c r="L9" s="25" t="n">
        <v>46062</v>
      </c>
      <c r="M9" s="22" t="inlineStr">
        <is>
          <t>sprint-Arthur</t>
        </is>
      </c>
      <c r="N9" s="26" t="n">
        <v>6</v>
      </c>
      <c r="O9" s="26" t="n">
        <v>0</v>
      </c>
      <c r="P9" s="22" t="inlineStr">
        <is>
          <t>FILTER</t>
        </is>
      </c>
      <c r="Q9" s="22" t="inlineStr">
        <is>
          <t>Capitalized-Feature, unplanned-sprint</t>
        </is>
      </c>
      <c r="R9" s="22" t="inlineStr"/>
      <c r="S9" s="27" t="inlineStr">
        <is>
          <t>YES</t>
        </is>
      </c>
    </row>
    <row r="10">
      <c r="A10" s="22" t="inlineStr">
        <is>
          <t>Defect</t>
        </is>
      </c>
      <c r="B10" s="23" t="inlineStr">
        <is>
          <t>FILTER-11614</t>
        </is>
      </c>
      <c r="C10" s="24" t="inlineStr">
        <is>
          <t>[Filter API] PUT /api/custom-list/resource returns HTTP 500 when updating resource to same value</t>
        </is>
      </c>
      <c r="D10" s="22" t="inlineStr">
        <is>
          <t>FILTER-3618</t>
        </is>
      </c>
      <c r="E10" s="22" t="inlineStr">
        <is>
          <t>Epic</t>
        </is>
      </c>
      <c r="F10" s="22" t="inlineStr">
        <is>
          <t>Prateek Fotedar</t>
        </is>
      </c>
      <c r="G10" s="22" t="inlineStr">
        <is>
          <t>RELEASED TO PROD</t>
        </is>
      </c>
      <c r="H10" s="22" t="inlineStr"/>
      <c r="I10" s="22" t="inlineStr">
        <is>
          <t>P3</t>
        </is>
      </c>
      <c r="J10" s="25" t="n">
        <v>46032</v>
      </c>
      <c r="K10" s="22" t="n"/>
      <c r="L10" s="25" t="n">
        <v>46062</v>
      </c>
      <c r="M10" s="22" t="inlineStr">
        <is>
          <t>sprint-Arthur</t>
        </is>
      </c>
      <c r="N10" s="26" t="n">
        <v>2</v>
      </c>
      <c r="O10" s="26" t="n">
        <v>2</v>
      </c>
      <c r="P10" s="22" t="inlineStr">
        <is>
          <t>FILTER</t>
        </is>
      </c>
      <c r="Q10" s="22" t="inlineStr">
        <is>
          <t>Capitalized-Feature, unplanned-sprint</t>
        </is>
      </c>
      <c r="R10" s="22" t="inlineStr"/>
      <c r="S10" s="27" t="inlineStr">
        <is>
          <t>YES</t>
        </is>
      </c>
    </row>
    <row r="11">
      <c r="A11" s="22" t="inlineStr">
        <is>
          <t>Defect</t>
        </is>
      </c>
      <c r="B11" s="23" t="inlineStr">
        <is>
          <t>FILTER-11615</t>
        </is>
      </c>
      <c r="C11" s="24" t="inlineStr">
        <is>
          <t>[Filter API] PUT /api/custom-list/resource returns HTTP 500 instead of 4xx when resourceId belongs to different custom list</t>
        </is>
      </c>
      <c r="D11" s="22" t="inlineStr">
        <is>
          <t>FILTER-3618</t>
        </is>
      </c>
      <c r="E11" s="22" t="inlineStr">
        <is>
          <t>Epic</t>
        </is>
      </c>
      <c r="F11" s="22" t="inlineStr">
        <is>
          <t>Prateek Fotedar</t>
        </is>
      </c>
      <c r="G11" s="22" t="inlineStr">
        <is>
          <t>RELEASED TO PROD</t>
        </is>
      </c>
      <c r="H11" s="22" t="inlineStr"/>
      <c r="I11" s="22" t="inlineStr">
        <is>
          <t>P3</t>
        </is>
      </c>
      <c r="J11" s="25" t="n">
        <v>46032</v>
      </c>
      <c r="K11" s="22" t="n"/>
      <c r="L11" s="25" t="n">
        <v>46062</v>
      </c>
      <c r="M11" s="22" t="inlineStr">
        <is>
          <t>sprint-Arthur</t>
        </is>
      </c>
      <c r="N11" s="26" t="n">
        <v>1</v>
      </c>
      <c r="O11" s="26" t="n">
        <v>1</v>
      </c>
      <c r="P11" s="22" t="inlineStr">
        <is>
          <t>FILTER</t>
        </is>
      </c>
      <c r="Q11" s="22" t="inlineStr">
        <is>
          <t>Capitalized-Feature, unplanned-sprint</t>
        </is>
      </c>
      <c r="R11" s="22" t="inlineStr"/>
      <c r="S11" s="27" t="inlineStr">
        <is>
          <t>YES</t>
        </is>
      </c>
    </row>
    <row r="12">
      <c r="A12" s="22" t="inlineStr">
        <is>
          <t>Defect</t>
        </is>
      </c>
      <c r="B12" s="23" t="inlineStr">
        <is>
          <t>FILTER-11619</t>
        </is>
      </c>
      <c r="C12" s="24" t="inlineStr">
        <is>
          <t>GET /api/custom-list returns HTTP 500 for invalid input parameters and malformed tokens instead of proper error codes</t>
        </is>
      </c>
      <c r="D12" s="22" t="inlineStr">
        <is>
          <t>FILTER-3618</t>
        </is>
      </c>
      <c r="E12" s="22" t="inlineStr">
        <is>
          <t>Epic</t>
        </is>
      </c>
      <c r="F12" s="22" t="inlineStr">
        <is>
          <t>Prateek Fotedar</t>
        </is>
      </c>
      <c r="G12" s="22" t="inlineStr">
        <is>
          <t>RELEASED TO PROD</t>
        </is>
      </c>
      <c r="H12" s="22" t="inlineStr"/>
      <c r="I12" s="22" t="inlineStr">
        <is>
          <t>P3</t>
        </is>
      </c>
      <c r="J12" s="25" t="n">
        <v>46034</v>
      </c>
      <c r="K12" s="22" t="n"/>
      <c r="L12" s="25" t="n">
        <v>46062</v>
      </c>
      <c r="M12" s="22" t="inlineStr">
        <is>
          <t>sprint-Arthur</t>
        </is>
      </c>
      <c r="N12" s="26" t="n">
        <v>1.5</v>
      </c>
      <c r="O12" s="26" t="n">
        <v>1.5</v>
      </c>
      <c r="P12" s="22" t="inlineStr">
        <is>
          <t>FILTER</t>
        </is>
      </c>
      <c r="Q12" s="22" t="inlineStr">
        <is>
          <t>Capitalized-Feature, unplanned-sprint</t>
        </is>
      </c>
      <c r="R12" s="22" t="inlineStr"/>
      <c r="S12" s="27" t="inlineStr">
        <is>
          <t>YES</t>
        </is>
      </c>
    </row>
    <row r="13">
      <c r="A13" s="22" t="inlineStr">
        <is>
          <t>Defect</t>
        </is>
      </c>
      <c r="B13" s="23" t="inlineStr">
        <is>
          <t>FILTER-11620</t>
        </is>
      </c>
      <c r="C13" s="24" t="inlineStr">
        <is>
          <t>Security Issue: Cross-Account Policy Linking Authorization Bug</t>
        </is>
      </c>
      <c r="D13" s="22" t="inlineStr">
        <is>
          <t>FILTER-3618</t>
        </is>
      </c>
      <c r="E13" s="22" t="inlineStr">
        <is>
          <t>Epic</t>
        </is>
      </c>
      <c r="F13" s="22" t="inlineStr">
        <is>
          <t>Prateek Fotedar</t>
        </is>
      </c>
      <c r="G13" s="22" t="inlineStr">
        <is>
          <t>Closed without action</t>
        </is>
      </c>
      <c r="H13" s="22" t="inlineStr"/>
      <c r="I13" s="22" t="inlineStr">
        <is>
          <t>P1</t>
        </is>
      </c>
      <c r="J13" s="25" t="n">
        <v>46034</v>
      </c>
      <c r="K13" s="22" t="n"/>
      <c r="L13" s="25" t="n">
        <v>46043</v>
      </c>
      <c r="M13" s="22" t="inlineStr">
        <is>
          <t>sprint-Arthur</t>
        </is>
      </c>
      <c r="N13" s="26" t="n">
        <v>0</v>
      </c>
      <c r="O13" s="26" t="n">
        <v>0</v>
      </c>
      <c r="P13" s="22" t="inlineStr">
        <is>
          <t>FILTER</t>
        </is>
      </c>
      <c r="Q13" s="22" t="inlineStr">
        <is>
          <t>Capitalized-Feature, unplanned-sprint</t>
        </is>
      </c>
      <c r="R13" s="22" t="inlineStr"/>
      <c r="S13" s="27" t="inlineStr">
        <is>
          <t>YES</t>
        </is>
      </c>
    </row>
    <row r="14">
      <c r="A14" s="22" t="inlineStr">
        <is>
          <t>Task</t>
        </is>
      </c>
      <c r="B14" s="23" t="inlineStr">
        <is>
          <t>FILTER-11701</t>
        </is>
      </c>
      <c r="C14" s="24" t="inlineStr">
        <is>
          <t>[sprox] Redis connection for wrapper &amp; redis config separation</t>
        </is>
      </c>
      <c r="D14" s="22" t="inlineStr">
        <is>
          <t>FILTER-8230</t>
        </is>
      </c>
      <c r="E14" s="22" t="inlineStr">
        <is>
          <t>Epic</t>
        </is>
      </c>
      <c r="F14" s="22" t="inlineStr">
        <is>
          <t>Ravi Raj</t>
        </is>
      </c>
      <c r="G14" s="22" t="inlineStr">
        <is>
          <t>Closed</t>
        </is>
      </c>
      <c r="H14" s="22" t="inlineStr"/>
      <c r="I14" s="22" t="inlineStr">
        <is>
          <t>P3</t>
        </is>
      </c>
      <c r="J14" s="25" t="n">
        <v>46041</v>
      </c>
      <c r="K14" s="22" t="n"/>
      <c r="L14" s="25" t="n">
        <v>46054</v>
      </c>
      <c r="M14" s="22" t="inlineStr">
        <is>
          <t>sprint-Arthur</t>
        </is>
      </c>
      <c r="N14" s="26" t="n">
        <v>8</v>
      </c>
      <c r="O14" s="26" t="n">
        <v>0.08</v>
      </c>
      <c r="P14" s="22" t="inlineStr">
        <is>
          <t>FILTER</t>
        </is>
      </c>
      <c r="Q14" s="22" t="inlineStr">
        <is>
          <t>unplanned-sprint</t>
        </is>
      </c>
      <c r="R14" s="22" t="inlineStr"/>
      <c r="S14" s="27" t="inlineStr">
        <is>
          <t>YES</t>
        </is>
      </c>
    </row>
    <row r="15">
      <c r="A15" s="22" t="inlineStr">
        <is>
          <t>Debug</t>
        </is>
      </c>
      <c r="B15" s="23" t="inlineStr">
        <is>
          <t>FILTER-11725</t>
        </is>
      </c>
      <c r="C15" s="24" t="inlineStr">
        <is>
          <t>[sprox] Function translation to sprox - Part 3</t>
        </is>
      </c>
      <c r="D15" s="22" t="inlineStr"/>
      <c r="E15" s="22" t="inlineStr"/>
      <c r="F15" s="22" t="inlineStr">
        <is>
          <t>Ravi Raj</t>
        </is>
      </c>
      <c r="G15" s="22" t="inlineStr">
        <is>
          <t>Closed</t>
        </is>
      </c>
      <c r="H15" s="22" t="inlineStr"/>
      <c r="I15" s="22" t="inlineStr">
        <is>
          <t>P3</t>
        </is>
      </c>
      <c r="J15" s="25" t="n">
        <v>46041</v>
      </c>
      <c r="K15" s="22" t="n"/>
      <c r="L15" s="25" t="n">
        <v>46054</v>
      </c>
      <c r="M15" s="22" t="inlineStr">
        <is>
          <t>sprint-Arthur</t>
        </is>
      </c>
      <c r="N15" s="26" t="n">
        <v>10</v>
      </c>
      <c r="O15" s="26" t="n">
        <v>10</v>
      </c>
      <c r="P15" s="22" t="inlineStr">
        <is>
          <t>FILTER</t>
        </is>
      </c>
      <c r="Q15" s="22" t="inlineStr">
        <is>
          <t>unplanned-sprint</t>
        </is>
      </c>
      <c r="R15" s="22" t="inlineStr"/>
      <c r="S15" s="27" t="inlineStr">
        <is>
          <t>YES</t>
        </is>
      </c>
    </row>
    <row r="16">
      <c r="A16" s="22" t="inlineStr">
        <is>
          <t>Escape Defect</t>
        </is>
      </c>
      <c r="B16" s="23" t="inlineStr">
        <is>
          <t>FILTER-11293</t>
        </is>
      </c>
      <c r="C16" s="24" t="inlineStr">
        <is>
          <t>Uncategorised block logic ignores domain's basegen when primary domain is not categorized and sub domain categorizarion is disabled</t>
        </is>
      </c>
      <c r="D16" s="22" t="inlineStr"/>
      <c r="E16" s="22" t="inlineStr"/>
      <c r="F16" s="22" t="inlineStr">
        <is>
          <t>Vaibhav Kumbhar</t>
        </is>
      </c>
      <c r="G16" s="22" t="inlineStr">
        <is>
          <t>Done</t>
        </is>
      </c>
      <c r="H16" s="22" t="inlineStr">
        <is>
          <t>Fixed</t>
        </is>
      </c>
      <c r="I16" s="22" t="inlineStr">
        <is>
          <t>P2</t>
        </is>
      </c>
      <c r="J16" s="25" t="n">
        <v>45995</v>
      </c>
      <c r="K16" s="25" t="n">
        <v>46006</v>
      </c>
      <c r="L16" s="25" t="n">
        <v>46090</v>
      </c>
      <c r="M16" s="22" t="inlineStr">
        <is>
          <t>sprint-Arthur</t>
        </is>
      </c>
      <c r="N16" s="26" t="n">
        <v>5</v>
      </c>
      <c r="O16" s="26" t="n">
        <v>0</v>
      </c>
      <c r="P16" s="22" t="inlineStr">
        <is>
          <t>FILTER</t>
        </is>
      </c>
      <c r="Q16" s="22" t="inlineStr">
        <is>
          <t>Reverified-2026, unplanned-sprint</t>
        </is>
      </c>
      <c r="R16" s="22" t="inlineStr"/>
      <c r="S16" s="27" t="inlineStr">
        <is>
          <t>YES</t>
        </is>
      </c>
    </row>
    <row r="17">
      <c r="A17" t="inlineStr">
        <is>
          <t>Task</t>
        </is>
      </c>
      <c r="B17" s="28" t="inlineStr">
        <is>
          <t>FILTER-11013</t>
        </is>
      </c>
      <c r="C17" s="20" t="inlineStr">
        <is>
          <t>Pkg-35 Regression testing</t>
        </is>
      </c>
      <c r="D17" t="inlineStr"/>
      <c r="E17" t="inlineStr"/>
      <c r="F17" t="inlineStr">
        <is>
          <t>Altamash Heroli</t>
        </is>
      </c>
      <c r="G17" t="inlineStr">
        <is>
          <t>Closed without action</t>
        </is>
      </c>
      <c r="H17" t="inlineStr"/>
      <c r="I17" t="inlineStr">
        <is>
          <t>P3</t>
        </is>
      </c>
      <c r="J17" s="29" t="n">
        <v>45986</v>
      </c>
      <c r="L17" s="29" t="n">
        <v>46044</v>
      </c>
      <c r="M17" t="inlineStr">
        <is>
          <t>sprint-Arthur</t>
        </is>
      </c>
      <c r="N17" s="11" t="n">
        <v>13.5</v>
      </c>
      <c r="O17" s="11" t="n">
        <v>15</v>
      </c>
      <c r="P17" t="inlineStr">
        <is>
          <t>FILTER</t>
        </is>
      </c>
      <c r="Q17" t="inlineStr">
        <is>
          <t>unplanned-sprint</t>
        </is>
      </c>
      <c r="R17" t="inlineStr"/>
      <c r="S17" t="inlineStr"/>
    </row>
    <row r="18">
      <c r="A18" t="inlineStr">
        <is>
          <t>QA</t>
        </is>
      </c>
      <c r="B18" s="28" t="inlineStr">
        <is>
          <t>FILTER-11014</t>
        </is>
      </c>
      <c r="C18" s="20" t="inlineStr">
        <is>
          <t>pkg-35 Regression Testing</t>
        </is>
      </c>
      <c r="D18" t="inlineStr">
        <is>
          <t>FILTER-11013</t>
        </is>
      </c>
      <c r="E18" t="inlineStr">
        <is>
          <t>Task</t>
        </is>
      </c>
      <c r="F18" t="inlineStr">
        <is>
          <t>Altamash Heroli</t>
        </is>
      </c>
      <c r="G18" t="inlineStr">
        <is>
          <t>Closed without action</t>
        </is>
      </c>
      <c r="H18" t="inlineStr"/>
      <c r="I18" t="inlineStr">
        <is>
          <t>P3</t>
        </is>
      </c>
      <c r="J18" s="29" t="n">
        <v>45986</v>
      </c>
      <c r="L18" s="29" t="n">
        <v>46029</v>
      </c>
      <c r="M18" t="inlineStr">
        <is>
          <t>sprint-Arthur</t>
        </is>
      </c>
      <c r="N18" s="11" t="n">
        <v>10</v>
      </c>
      <c r="O18" s="11" t="n">
        <v>15</v>
      </c>
      <c r="P18" t="inlineStr">
        <is>
          <t>FILTER</t>
        </is>
      </c>
      <c r="Q18" t="inlineStr"/>
      <c r="R18" t="inlineStr"/>
      <c r="S18" t="inlineStr"/>
    </row>
    <row r="19">
      <c r="A19" t="inlineStr">
        <is>
          <t>QA</t>
        </is>
      </c>
      <c r="B19" s="28" t="inlineStr">
        <is>
          <t>FILTER-11131</t>
        </is>
      </c>
      <c r="C19" s="20" t="inlineStr">
        <is>
          <t xml:space="preserve"> C++ securly init connection function calling</t>
        </is>
      </c>
      <c r="D19" t="inlineStr">
        <is>
          <t>FILTER-10740</t>
        </is>
      </c>
      <c r="E19" t="inlineStr">
        <is>
          <t>Task</t>
        </is>
      </c>
      <c r="F19" t="inlineStr">
        <is>
          <t>Altamash Heroli</t>
        </is>
      </c>
      <c r="G19" t="inlineStr">
        <is>
          <t>Closed without action</t>
        </is>
      </c>
      <c r="H19" t="inlineStr"/>
      <c r="I19" t="inlineStr">
        <is>
          <t>P3</t>
        </is>
      </c>
      <c r="J19" s="29" t="n">
        <v>45993</v>
      </c>
      <c r="L19" s="29" t="n">
        <v>45999</v>
      </c>
      <c r="M19" t="inlineStr">
        <is>
          <t>sprint-Arthur</t>
        </is>
      </c>
      <c r="N19" s="11" t="n">
        <v>0</v>
      </c>
      <c r="O19" s="11" t="n">
        <v>0</v>
      </c>
      <c r="P19" t="inlineStr">
        <is>
          <t>FILTER</t>
        </is>
      </c>
      <c r="Q19" t="inlineStr"/>
      <c r="R19" t="inlineStr"/>
      <c r="S19" t="inlineStr"/>
    </row>
    <row r="20">
      <c r="A20" t="inlineStr">
        <is>
          <t>QA</t>
        </is>
      </c>
      <c r="B20" s="28" t="inlineStr">
        <is>
          <t>FILTER-11211</t>
        </is>
      </c>
      <c r="C20" s="20" t="inlineStr">
        <is>
          <t>QA - [sprox] main.rs module separation part-1</t>
        </is>
      </c>
      <c r="D20" t="inlineStr">
        <is>
          <t>FILTER-10738</t>
        </is>
      </c>
      <c r="E20" t="inlineStr">
        <is>
          <t>Task</t>
        </is>
      </c>
      <c r="F20" t="inlineStr">
        <is>
          <t>Altamash Heroli</t>
        </is>
      </c>
      <c r="G20" t="inlineStr">
        <is>
          <t>Closed without action</t>
        </is>
      </c>
      <c r="H20" t="inlineStr"/>
      <c r="I20" t="inlineStr">
        <is>
          <t>P3</t>
        </is>
      </c>
      <c r="J20" s="29" t="n">
        <v>45994</v>
      </c>
      <c r="L20" s="29" t="n">
        <v>45999</v>
      </c>
      <c r="M20" t="inlineStr">
        <is>
          <t>sprint-Arthur</t>
        </is>
      </c>
      <c r="N20" s="11" t="n">
        <v>0</v>
      </c>
      <c r="O20" s="11" t="n">
        <v>0</v>
      </c>
      <c r="P20" t="inlineStr">
        <is>
          <t>FILTER</t>
        </is>
      </c>
      <c r="Q20" t="inlineStr"/>
      <c r="R20" t="inlineStr"/>
      <c r="S20" t="inlineStr"/>
    </row>
    <row r="21">
      <c r="A21" t="inlineStr">
        <is>
          <t>QA</t>
        </is>
      </c>
      <c r="B21" s="28" t="inlineStr">
        <is>
          <t>FILTER-11278</t>
        </is>
      </c>
      <c r="C21" s="20" t="inlineStr">
        <is>
          <t>QA - [sprox] Securly supporting files compilation</t>
        </is>
      </c>
      <c r="D21" t="inlineStr">
        <is>
          <t>FILTER-10741</t>
        </is>
      </c>
      <c r="E21" t="inlineStr">
        <is>
          <t>Task</t>
        </is>
      </c>
      <c r="F21" t="inlineStr">
        <is>
          <t>Altamash Heroli</t>
        </is>
      </c>
      <c r="G21" t="inlineStr">
        <is>
          <t>Closed without action</t>
        </is>
      </c>
      <c r="H21" t="inlineStr"/>
      <c r="I21" t="inlineStr">
        <is>
          <t>P3</t>
        </is>
      </c>
      <c r="J21" s="29" t="n">
        <v>45995</v>
      </c>
      <c r="L21" s="29" t="n">
        <v>45999</v>
      </c>
      <c r="M21" t="inlineStr">
        <is>
          <t>sprint-Arthur</t>
        </is>
      </c>
      <c r="N21" s="11" t="n">
        <v>0</v>
      </c>
      <c r="O21" s="11" t="n">
        <v>0</v>
      </c>
      <c r="P21" t="inlineStr">
        <is>
          <t>FILTER</t>
        </is>
      </c>
      <c r="Q21" t="inlineStr"/>
      <c r="R21" t="inlineStr"/>
      <c r="S21" t="inlineStr"/>
    </row>
    <row r="22">
      <c r="A22" t="inlineStr">
        <is>
          <t>QA</t>
        </is>
      </c>
      <c r="B22" s="28" t="inlineStr">
        <is>
          <t>FILTER-11452</t>
        </is>
      </c>
      <c r="C22" s="20" t="inlineStr">
        <is>
          <t>QA task</t>
        </is>
      </c>
      <c r="D22" t="inlineStr">
        <is>
          <t>FILTER-11449</t>
        </is>
      </c>
      <c r="E22" t="inlineStr">
        <is>
          <t>Task</t>
        </is>
      </c>
      <c r="F22" t="inlineStr">
        <is>
          <t>Altamash Heroli</t>
        </is>
      </c>
      <c r="G22" t="inlineStr">
        <is>
          <t>Closed without action</t>
        </is>
      </c>
      <c r="H22" t="inlineStr"/>
      <c r="I22" t="inlineStr">
        <is>
          <t>P2</t>
        </is>
      </c>
      <c r="J22" s="29" t="n">
        <v>46006</v>
      </c>
      <c r="L22" s="29" t="n">
        <v>46040</v>
      </c>
      <c r="M22" t="inlineStr">
        <is>
          <t>sprint-Arthur</t>
        </is>
      </c>
      <c r="N22" s="11" t="n">
        <v>0</v>
      </c>
      <c r="O22" s="11" t="n">
        <v>0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Automation</t>
        </is>
      </c>
      <c r="B23" s="28" t="inlineStr">
        <is>
          <t>FILTER-11170</t>
        </is>
      </c>
      <c r="C23" s="20" t="inlineStr">
        <is>
          <t>Fix Custom Group Creation Button State and Default Date Errors</t>
        </is>
      </c>
      <c r="D23" t="inlineStr">
        <is>
          <t>FILTER-9128</t>
        </is>
      </c>
      <c r="E23" t="inlineStr">
        <is>
          <t>Escape Defect</t>
        </is>
      </c>
      <c r="F23" t="inlineStr">
        <is>
          <t>Amit Shete</t>
        </is>
      </c>
      <c r="G23" t="inlineStr">
        <is>
          <t>Done</t>
        </is>
      </c>
      <c r="H23" t="inlineStr"/>
      <c r="I23" t="inlineStr">
        <is>
          <t>P3</t>
        </is>
      </c>
      <c r="J23" s="29" t="n">
        <v>45993</v>
      </c>
      <c r="L23" s="29" t="n">
        <v>46042</v>
      </c>
      <c r="M23" t="inlineStr">
        <is>
          <t>sprint-Arthur</t>
        </is>
      </c>
      <c r="N23" s="11" t="n">
        <v>3.5</v>
      </c>
      <c r="O23" s="11" t="n">
        <v>4</v>
      </c>
      <c r="P23" t="inlineStr">
        <is>
          <t>FILTER</t>
        </is>
      </c>
      <c r="Q23" t="inlineStr"/>
      <c r="R23" t="inlineStr"/>
      <c r="S23" t="inlineStr"/>
    </row>
    <row r="24">
      <c r="A24" t="inlineStr">
        <is>
          <t>Automation</t>
        </is>
      </c>
      <c r="B24" s="28" t="inlineStr">
        <is>
          <t>FILTER-11342</t>
        </is>
      </c>
      <c r="C24" s="20" t="inlineStr">
        <is>
          <t>Automated E2E Regression Test: Validate SourceIP Integrity and Logging on PHP Block</t>
        </is>
      </c>
      <c r="D24" t="inlineStr">
        <is>
          <t>FILTER-11340</t>
        </is>
      </c>
      <c r="E24" t="inlineStr">
        <is>
          <t>Escape Defect</t>
        </is>
      </c>
      <c r="F24" t="inlineStr">
        <is>
          <t>Amit Shete</t>
        </is>
      </c>
      <c r="G24" t="inlineStr">
        <is>
          <t>Done</t>
        </is>
      </c>
      <c r="H24" t="inlineStr"/>
      <c r="I24" t="inlineStr">
        <is>
          <t>P3</t>
        </is>
      </c>
      <c r="J24" s="29" t="n">
        <v>45999</v>
      </c>
      <c r="L24" s="29" t="n">
        <v>46042</v>
      </c>
      <c r="M24" t="inlineStr">
        <is>
          <t>sprint-Arthur</t>
        </is>
      </c>
      <c r="N24" s="11" t="n">
        <v>4.5</v>
      </c>
      <c r="O24" s="11" t="n">
        <v>4</v>
      </c>
      <c r="P24" t="inlineStr">
        <is>
          <t>FILTER</t>
        </is>
      </c>
      <c r="Q24" t="inlineStr"/>
      <c r="R24" t="inlineStr"/>
      <c r="S24" t="inlineStr"/>
    </row>
    <row r="25">
      <c r="A25" t="inlineStr">
        <is>
          <t>Automation</t>
        </is>
      </c>
      <c r="B25" s="28" t="inlineStr">
        <is>
          <t>FILTER-11349</t>
        </is>
      </c>
      <c r="C25" s="20" t="inlineStr">
        <is>
          <t>Automated E2E Regression Test: Validate Tab Rebrokering Post-Idle on Windows/macOS</t>
        </is>
      </c>
      <c r="D25" t="inlineStr">
        <is>
          <t>FILTER-11347</t>
        </is>
      </c>
      <c r="E25" t="inlineStr">
        <is>
          <t>Task</t>
        </is>
      </c>
      <c r="F25" t="inlineStr">
        <is>
          <t>Amit Shete</t>
        </is>
      </c>
      <c r="G25" t="inlineStr">
        <is>
          <t>Done</t>
        </is>
      </c>
      <c r="H25" t="inlineStr"/>
      <c r="I25" t="inlineStr">
        <is>
          <t>P3</t>
        </is>
      </c>
      <c r="J25" s="29" t="n">
        <v>45999</v>
      </c>
      <c r="L25" s="29" t="n">
        <v>46042</v>
      </c>
      <c r="M25" t="inlineStr">
        <is>
          <t>sprint-Arthur</t>
        </is>
      </c>
      <c r="N25" s="11" t="n">
        <v>5</v>
      </c>
      <c r="O25" s="11" t="n">
        <v>5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Automation</t>
        </is>
      </c>
      <c r="B26" s="28" t="inlineStr">
        <is>
          <t>FILTER-11367</t>
        </is>
      </c>
      <c r="C26" s="20" t="inlineStr">
        <is>
          <t>Automated E2E Regression Test: Fix Custom Group Creation Requirement for Duration</t>
        </is>
      </c>
      <c r="D26" t="inlineStr">
        <is>
          <t>FILTER-9069</t>
        </is>
      </c>
      <c r="E26" t="inlineStr">
        <is>
          <t>Escape Defect</t>
        </is>
      </c>
      <c r="F26" t="inlineStr">
        <is>
          <t>Amit Shete</t>
        </is>
      </c>
      <c r="G26" t="inlineStr">
        <is>
          <t>Closed without action</t>
        </is>
      </c>
      <c r="H26" t="inlineStr"/>
      <c r="I26" t="inlineStr">
        <is>
          <t>P3</t>
        </is>
      </c>
      <c r="J26" s="29" t="n">
        <v>46000</v>
      </c>
      <c r="L26" s="29" t="n">
        <v>46037</v>
      </c>
      <c r="M26" t="inlineStr">
        <is>
          <t>sprint-Arthur</t>
        </is>
      </c>
      <c r="N26" s="11" t="n">
        <v>0</v>
      </c>
      <c r="O26" s="11" t="n">
        <v>0</v>
      </c>
      <c r="P26" t="inlineStr">
        <is>
          <t>FILTER</t>
        </is>
      </c>
      <c r="Q26" t="inlineStr"/>
      <c r="R26" t="inlineStr"/>
      <c r="S26" t="inlineStr"/>
    </row>
    <row r="27">
      <c r="A27" t="inlineStr">
        <is>
          <t>Automation</t>
        </is>
      </c>
      <c r="B27" s="28" t="inlineStr">
        <is>
          <t>FILTER-11528</t>
        </is>
      </c>
      <c r="C27" s="20" t="inlineStr">
        <is>
          <t>Automated UI Regression: Validate Audit Log Sort Persistence on Search Interaction</t>
        </is>
      </c>
      <c r="D27" t="inlineStr">
        <is>
          <t>FILTER-10247</t>
        </is>
      </c>
      <c r="E27" t="inlineStr">
        <is>
          <t>Defect</t>
        </is>
      </c>
      <c r="F27" t="inlineStr">
        <is>
          <t>Amit Shete</t>
        </is>
      </c>
      <c r="G27" t="inlineStr">
        <is>
          <t>Done</t>
        </is>
      </c>
      <c r="H27" t="inlineStr"/>
      <c r="I27" t="inlineStr">
        <is>
          <t>P3</t>
        </is>
      </c>
      <c r="J27" s="29" t="n">
        <v>46010</v>
      </c>
      <c r="L27" s="29" t="n">
        <v>46042</v>
      </c>
      <c r="M27" t="inlineStr">
        <is>
          <t>sprint-Arthur</t>
        </is>
      </c>
      <c r="N27" s="11" t="n">
        <v>5.5</v>
      </c>
      <c r="O27" s="11" t="n">
        <v>6</v>
      </c>
      <c r="P27" t="inlineStr">
        <is>
          <t>FILTER</t>
        </is>
      </c>
      <c r="Q27" t="inlineStr"/>
      <c r="R27" t="inlineStr"/>
      <c r="S27" t="inlineStr"/>
    </row>
    <row r="28">
      <c r="A28" t="inlineStr">
        <is>
          <t>Escape Defect</t>
        </is>
      </c>
      <c r="B28" s="28" t="inlineStr">
        <is>
          <t>FILTER-10237</t>
        </is>
      </c>
      <c r="C28" s="20" t="inlineStr">
        <is>
          <t>P1 escalation-Crextn-specific Bypass using upgraded credentials</t>
        </is>
      </c>
      <c r="D28" t="inlineStr"/>
      <c r="E28" t="inlineStr"/>
      <c r="F28" t="inlineStr">
        <is>
          <t>Ashish Modak</t>
        </is>
      </c>
      <c r="G28" t="inlineStr">
        <is>
          <t>Release in Progress</t>
        </is>
      </c>
      <c r="H28" t="inlineStr">
        <is>
          <t>Fixed</t>
        </is>
      </c>
      <c r="I28" t="inlineStr">
        <is>
          <t>P1</t>
        </is>
      </c>
      <c r="J28" s="29" t="n">
        <v>45926</v>
      </c>
      <c r="K28" s="29" t="n">
        <v>45981</v>
      </c>
      <c r="L28" s="29" t="n">
        <v>46056</v>
      </c>
      <c r="M28" t="inlineStr">
        <is>
          <t>sprint-Arthur</t>
        </is>
      </c>
      <c r="N28" s="11" t="n">
        <v>6</v>
      </c>
      <c r="O28" s="11" t="n">
        <v>6</v>
      </c>
      <c r="P28" t="inlineStr">
        <is>
          <t>FILTER</t>
        </is>
      </c>
      <c r="Q28" t="inlineStr">
        <is>
          <t>Reverified-2025, jira_added, jira_backlog, jira_escalated, jira_in_progress, p1escalation, unplanned-sprint</t>
        </is>
      </c>
      <c r="R28" t="inlineStr"/>
      <c r="S28" t="inlineStr"/>
    </row>
    <row r="29">
      <c r="A29" t="inlineStr">
        <is>
          <t>Dev</t>
        </is>
      </c>
      <c r="B29" s="28" t="inlineStr">
        <is>
          <t>FILTER-11276</t>
        </is>
      </c>
      <c r="C29" s="20" t="inlineStr">
        <is>
          <t>[sprox] Securly supporting files compilation</t>
        </is>
      </c>
      <c r="D29" t="inlineStr">
        <is>
          <t>FILTER-10741</t>
        </is>
      </c>
      <c r="E29" t="inlineStr">
        <is>
          <t>Task</t>
        </is>
      </c>
      <c r="F29" t="inlineStr">
        <is>
          <t>Ashish Temurnikar</t>
        </is>
      </c>
      <c r="G29" t="inlineStr">
        <is>
          <t>Closed without action</t>
        </is>
      </c>
      <c r="H29" t="inlineStr"/>
      <c r="I29" t="inlineStr">
        <is>
          <t>P3</t>
        </is>
      </c>
      <c r="J29" s="29" t="n">
        <v>45995</v>
      </c>
      <c r="L29" s="29" t="n">
        <v>46041</v>
      </c>
      <c r="M29" t="inlineStr">
        <is>
          <t>sprint-Arthur</t>
        </is>
      </c>
      <c r="N29" s="11" t="n">
        <v>12</v>
      </c>
      <c r="O29" s="11" t="n">
        <v>12</v>
      </c>
      <c r="P29" t="inlineStr">
        <is>
          <t>FILTER</t>
        </is>
      </c>
      <c r="Q29" t="inlineStr"/>
      <c r="R29" t="inlineStr"/>
      <c r="S29" t="inlineStr"/>
    </row>
    <row r="30">
      <c r="A30" t="inlineStr">
        <is>
          <t>Dev</t>
        </is>
      </c>
      <c r="B30" s="28" t="inlineStr">
        <is>
          <t>FILTER-11496</t>
        </is>
      </c>
      <c r="C30" s="20" t="inlineStr">
        <is>
          <t>Fix Google Maps Menu Failure: Unblock googleusercontent.com/maps.google.com/1 in SmartPAC/DNS</t>
        </is>
      </c>
      <c r="D30" t="inlineStr">
        <is>
          <t>FILTER-1621</t>
        </is>
      </c>
      <c r="E30" t="inlineStr">
        <is>
          <t>Bug (OLD - use Defect instead)</t>
        </is>
      </c>
      <c r="F30" t="inlineStr">
        <is>
          <t>Ashish Temurnikar</t>
        </is>
      </c>
      <c r="G30" t="inlineStr">
        <is>
          <t>Closed without action</t>
        </is>
      </c>
      <c r="H30" t="inlineStr"/>
      <c r="I30" t="inlineStr">
        <is>
          <t>P1</t>
        </is>
      </c>
      <c r="J30" s="29" t="n">
        <v>46010</v>
      </c>
      <c r="L30" s="29" t="n">
        <v>46033</v>
      </c>
      <c r="M30" t="inlineStr">
        <is>
          <t>sprint-Arthur</t>
        </is>
      </c>
      <c r="N30" s="11" t="n">
        <v>6</v>
      </c>
      <c r="O30" s="11" t="n">
        <v>6</v>
      </c>
      <c r="P30" t="inlineStr">
        <is>
          <t>FILTER</t>
        </is>
      </c>
      <c r="Q30" t="inlineStr"/>
      <c r="R30" t="inlineStr"/>
      <c r="S30" t="inlineStr"/>
    </row>
    <row r="31">
      <c r="A31" t="inlineStr">
        <is>
          <t>Dev</t>
        </is>
      </c>
      <c r="B31" s="28" t="inlineStr">
        <is>
          <t>FILTER-11501</t>
        </is>
      </c>
      <c r="C31" s="20" t="inlineStr">
        <is>
          <t>Resolve Google "Unusual Traffic" Blocks for admin.google.com on US-West Egress IPs</t>
        </is>
      </c>
      <c r="D31" t="inlineStr">
        <is>
          <t>FILTER-9255</t>
        </is>
      </c>
      <c r="E31" t="inlineStr">
        <is>
          <t>Escape Defect</t>
        </is>
      </c>
      <c r="F31" t="inlineStr">
        <is>
          <t>Ashish Temurnikar</t>
        </is>
      </c>
      <c r="G31" t="inlineStr">
        <is>
          <t>Closed without action</t>
        </is>
      </c>
      <c r="H31" t="inlineStr"/>
      <c r="I31" t="inlineStr">
        <is>
          <t>P3</t>
        </is>
      </c>
      <c r="J31" s="29" t="n">
        <v>46010</v>
      </c>
      <c r="L31" s="29" t="n">
        <v>46033</v>
      </c>
      <c r="M31" t="inlineStr">
        <is>
          <t>sprint-Arthur</t>
        </is>
      </c>
      <c r="N31" s="11" t="n">
        <v>7</v>
      </c>
      <c r="O31" s="11" t="n">
        <v>6</v>
      </c>
      <c r="P31" t="inlineStr">
        <is>
          <t>FILTER</t>
        </is>
      </c>
      <c r="Q31" t="inlineStr"/>
      <c r="R31" t="inlineStr"/>
      <c r="S31" t="inlineStr"/>
    </row>
    <row r="32">
      <c r="A32" t="inlineStr">
        <is>
          <t>Dev</t>
        </is>
      </c>
      <c r="B32" s="28" t="inlineStr">
        <is>
          <t>FILTER-11609</t>
        </is>
      </c>
      <c r="C32" s="20" t="inlineStr">
        <is>
          <t>Squid coredump issue on Ohio</t>
        </is>
      </c>
      <c r="D32" t="inlineStr">
        <is>
          <t>FILTER-11608</t>
        </is>
      </c>
      <c r="E32" t="inlineStr">
        <is>
          <t>Task</t>
        </is>
      </c>
      <c r="F32" t="inlineStr">
        <is>
          <t>Ashish Temurnikar</t>
        </is>
      </c>
      <c r="G32" t="inlineStr">
        <is>
          <t>Done</t>
        </is>
      </c>
      <c r="H32" t="inlineStr"/>
      <c r="I32" t="inlineStr">
        <is>
          <t>P1</t>
        </is>
      </c>
      <c r="J32" s="29" t="n">
        <v>46030</v>
      </c>
      <c r="L32" s="29" t="n">
        <v>46044</v>
      </c>
      <c r="M32" t="inlineStr">
        <is>
          <t>sprint-Arthur</t>
        </is>
      </c>
      <c r="N32" s="11" t="n">
        <v>0</v>
      </c>
      <c r="O32" s="11" t="n">
        <v>6</v>
      </c>
      <c r="P32" t="inlineStr">
        <is>
          <t>FILTER</t>
        </is>
      </c>
      <c r="Q32" t="inlineStr"/>
      <c r="R32" t="inlineStr"/>
      <c r="S32" t="inlineStr"/>
    </row>
    <row r="33">
      <c r="A33" t="inlineStr">
        <is>
          <t>QA</t>
        </is>
      </c>
      <c r="B33" s="28" t="inlineStr">
        <is>
          <t>FILTER-10702</t>
        </is>
      </c>
      <c r="C33" s="20" t="inlineStr">
        <is>
          <t>QA Testing: proxy signature to fingerprinting ruleset</t>
        </is>
      </c>
      <c r="D33" t="inlineStr">
        <is>
          <t>FILTER-8088</t>
        </is>
      </c>
      <c r="E33" t="inlineStr">
        <is>
          <t>Task</t>
        </is>
      </c>
      <c r="F33" t="inlineStr">
        <is>
          <t>Ayesha Kamde</t>
        </is>
      </c>
      <c r="G33" t="inlineStr">
        <is>
          <t>Closed without action</t>
        </is>
      </c>
      <c r="H33" t="inlineStr"/>
      <c r="I33" t="inlineStr">
        <is>
          <t>P3</t>
        </is>
      </c>
      <c r="J33" s="29" t="n">
        <v>45968</v>
      </c>
      <c r="L33" s="29" t="n">
        <v>46034</v>
      </c>
      <c r="M33" t="inlineStr">
        <is>
          <t>sprint-Arthur</t>
        </is>
      </c>
      <c r="N33" s="11" t="n">
        <v>0</v>
      </c>
      <c r="O33" s="11" t="n">
        <v>4</v>
      </c>
      <c r="P33" t="inlineStr">
        <is>
          <t>FILTER</t>
        </is>
      </c>
      <c r="Q33" t="inlineStr"/>
      <c r="R33" t="inlineStr"/>
      <c r="S33" t="inlineStr"/>
    </row>
    <row r="34">
      <c r="A34" t="inlineStr">
        <is>
          <t>QA</t>
        </is>
      </c>
      <c r="B34" s="28" t="inlineStr">
        <is>
          <t>FILTER-11016</t>
        </is>
      </c>
      <c r="C34" s="20" t="inlineStr">
        <is>
          <t>pkg-35 Regression Testing</t>
        </is>
      </c>
      <c r="D34" t="inlineStr">
        <is>
          <t>FILTER-11013</t>
        </is>
      </c>
      <c r="E34" t="inlineStr">
        <is>
          <t>Task</t>
        </is>
      </c>
      <c r="F34" t="inlineStr">
        <is>
          <t>Ayesha Kamde</t>
        </is>
      </c>
      <c r="G34" t="inlineStr">
        <is>
          <t>Closed without action</t>
        </is>
      </c>
      <c r="H34" t="inlineStr"/>
      <c r="I34" t="inlineStr">
        <is>
          <t>P3</t>
        </is>
      </c>
      <c r="J34" s="29" t="n">
        <v>45986</v>
      </c>
      <c r="L34" s="29" t="n">
        <v>46029</v>
      </c>
      <c r="M34" t="inlineStr">
        <is>
          <t>sprint-Arthur</t>
        </is>
      </c>
      <c r="N34" s="11" t="n">
        <v>0</v>
      </c>
      <c r="O34" s="11" t="n">
        <v>10</v>
      </c>
      <c r="P34" t="inlineStr">
        <is>
          <t>FILTER</t>
        </is>
      </c>
      <c r="Q34" t="inlineStr"/>
      <c r="R34" t="inlineStr"/>
      <c r="S34" t="inlineStr"/>
    </row>
    <row r="35">
      <c r="A35" t="inlineStr">
        <is>
          <t>QA</t>
        </is>
      </c>
      <c r="B35" s="28" t="inlineStr">
        <is>
          <t>FILTER-11021</t>
        </is>
      </c>
      <c r="C35" s="20" t="inlineStr">
        <is>
          <t>Manual QA Validation for Dual Logging (Blocked + Flagged) on all Search Engines</t>
        </is>
      </c>
      <c r="D35" t="inlineStr">
        <is>
          <t>FILTER-10116</t>
        </is>
      </c>
      <c r="E35" t="inlineStr">
        <is>
          <t>Defect</t>
        </is>
      </c>
      <c r="F35" t="inlineStr">
        <is>
          <t>Ayesha Kamde</t>
        </is>
      </c>
      <c r="G35" t="inlineStr">
        <is>
          <t>Closed without action</t>
        </is>
      </c>
      <c r="H35" t="inlineStr"/>
      <c r="I35" t="inlineStr">
        <is>
          <t>P3</t>
        </is>
      </c>
      <c r="J35" s="29" t="n">
        <v>45986</v>
      </c>
      <c r="L35" s="29" t="n">
        <v>46038</v>
      </c>
      <c r="M35" t="inlineStr">
        <is>
          <t>sprint-Arthur</t>
        </is>
      </c>
      <c r="N35" s="11" t="n">
        <v>0.15</v>
      </c>
      <c r="O35" s="11" t="n">
        <v>8</v>
      </c>
      <c r="P35" t="inlineStr">
        <is>
          <t>FILTER</t>
        </is>
      </c>
      <c r="Q35" t="inlineStr"/>
      <c r="R35" t="inlineStr"/>
      <c r="S35" t="inlineStr"/>
    </row>
    <row r="36">
      <c r="A36" t="inlineStr">
        <is>
          <t>QA</t>
        </is>
      </c>
      <c r="B36" s="28" t="inlineStr">
        <is>
          <t>FILTER-11027</t>
        </is>
      </c>
      <c r="C36" s="20" t="inlineStr">
        <is>
          <t>Manual QA Validation for Flagged Icon and Status in Double Logging Scenarios</t>
        </is>
      </c>
      <c r="D36" t="inlineStr">
        <is>
          <t>FILTER-7172</t>
        </is>
      </c>
      <c r="E36" t="inlineStr">
        <is>
          <t>Bug (OLD - use Defect instead)</t>
        </is>
      </c>
      <c r="F36" t="inlineStr">
        <is>
          <t>Ayesha Kamde</t>
        </is>
      </c>
      <c r="G36" t="inlineStr">
        <is>
          <t>Done</t>
        </is>
      </c>
      <c r="H36" t="inlineStr"/>
      <c r="I36" t="inlineStr">
        <is>
          <t>P2</t>
        </is>
      </c>
      <c r="J36" s="29" t="n">
        <v>45986</v>
      </c>
      <c r="L36" s="29" t="n">
        <v>46038</v>
      </c>
      <c r="M36" t="inlineStr">
        <is>
          <t>sprint-Arthur</t>
        </is>
      </c>
      <c r="N36" s="11" t="n">
        <v>1</v>
      </c>
      <c r="O36" s="11" t="n">
        <v>6</v>
      </c>
      <c r="P36" t="inlineStr">
        <is>
          <t>FILTER</t>
        </is>
      </c>
      <c r="Q36" t="inlineStr"/>
      <c r="R36" t="inlineStr"/>
      <c r="S36" t="inlineStr"/>
    </row>
    <row r="37">
      <c r="A37" t="inlineStr">
        <is>
          <t>QA</t>
        </is>
      </c>
      <c r="B37" s="28" t="inlineStr">
        <is>
          <t>FILTER-11171</t>
        </is>
      </c>
      <c r="C37" s="20" t="inlineStr">
        <is>
          <t>Manual QA Validation for Custom Group Creation UI/Date Logic</t>
        </is>
      </c>
      <c r="D37" t="inlineStr">
        <is>
          <t>FILTER-9128</t>
        </is>
      </c>
      <c r="E37" t="inlineStr">
        <is>
          <t>Escape Defect</t>
        </is>
      </c>
      <c r="F37" t="inlineStr">
        <is>
          <t>Ayesha Kamde</t>
        </is>
      </c>
      <c r="G37" t="inlineStr">
        <is>
          <t>Done</t>
        </is>
      </c>
      <c r="H37" t="inlineStr"/>
      <c r="I37" t="inlineStr">
        <is>
          <t>P3</t>
        </is>
      </c>
      <c r="J37" s="29" t="n">
        <v>45993</v>
      </c>
      <c r="L37" s="29" t="n">
        <v>46036</v>
      </c>
      <c r="M37" t="inlineStr">
        <is>
          <t>sprint-Arthur</t>
        </is>
      </c>
      <c r="N37" s="11" t="n">
        <v>2.5</v>
      </c>
      <c r="O37" s="11" t="n">
        <v>1</v>
      </c>
      <c r="P37" t="inlineStr">
        <is>
          <t>FILTER</t>
        </is>
      </c>
      <c r="Q37" t="inlineStr"/>
      <c r="R37" t="inlineStr"/>
      <c r="S37" t="inlineStr"/>
    </row>
    <row r="38">
      <c r="A38" t="inlineStr">
        <is>
          <t>QA</t>
        </is>
      </c>
      <c r="B38" s="28" t="inlineStr">
        <is>
          <t>FILTER-11250</t>
        </is>
      </c>
      <c r="C38" s="20" t="inlineStr">
        <is>
          <t xml:space="preserve">Manual QA Validation for Activities UI Overflow and Column State Persistence </t>
        </is>
      </c>
      <c r="D38" t="inlineStr">
        <is>
          <t>FILTER-6563</t>
        </is>
      </c>
      <c r="E38" t="inlineStr">
        <is>
          <t>Escape Defect</t>
        </is>
      </c>
      <c r="F38" t="inlineStr">
        <is>
          <t>Ayesha Kamde</t>
        </is>
      </c>
      <c r="G38" t="inlineStr">
        <is>
          <t>Done</t>
        </is>
      </c>
      <c r="H38" t="inlineStr"/>
      <c r="I38" t="inlineStr">
        <is>
          <t>P3</t>
        </is>
      </c>
      <c r="J38" s="29" t="n">
        <v>45994</v>
      </c>
      <c r="L38" s="29" t="n">
        <v>46050</v>
      </c>
      <c r="M38" t="inlineStr">
        <is>
          <t>sprint-Arthur</t>
        </is>
      </c>
      <c r="N38" s="11" t="n">
        <v>3</v>
      </c>
      <c r="O38" s="11" t="n">
        <v>0</v>
      </c>
      <c r="P38" t="inlineStr">
        <is>
          <t>FILTER</t>
        </is>
      </c>
      <c r="Q38" t="inlineStr">
        <is>
          <t>OOB, QAed-during-pkg-35-2025</t>
        </is>
      </c>
      <c r="R38" t="inlineStr"/>
      <c r="S38" t="inlineStr"/>
    </row>
    <row r="39">
      <c r="A39" t="inlineStr">
        <is>
          <t>Test Case Creation</t>
        </is>
      </c>
      <c r="B39" s="28" t="inlineStr">
        <is>
          <t>FILTER-11366</t>
        </is>
      </c>
      <c r="C39" s="20" t="inlineStr">
        <is>
          <t>Testcases creation for Filter- 7172</t>
        </is>
      </c>
      <c r="D39" t="inlineStr">
        <is>
          <t>FILTER-7172</t>
        </is>
      </c>
      <c r="E39" t="inlineStr">
        <is>
          <t>Bug (OLD - use Defect instead)</t>
        </is>
      </c>
      <c r="F39" t="inlineStr">
        <is>
          <t>Ayesha Kamde</t>
        </is>
      </c>
      <c r="G39" t="inlineStr">
        <is>
          <t>Done</t>
        </is>
      </c>
      <c r="H39" t="inlineStr"/>
      <c r="I39" t="inlineStr">
        <is>
          <t>P3</t>
        </is>
      </c>
      <c r="J39" s="29" t="n">
        <v>46000</v>
      </c>
      <c r="L39" s="29" t="n">
        <v>46042</v>
      </c>
      <c r="M39" t="inlineStr">
        <is>
          <t>sprint-Arthur</t>
        </is>
      </c>
      <c r="N39" s="11" t="n">
        <v>0.15</v>
      </c>
      <c r="O39" s="11" t="n">
        <v>0</v>
      </c>
      <c r="P39" t="inlineStr">
        <is>
          <t>FILTER</t>
        </is>
      </c>
      <c r="Q39" t="inlineStr"/>
      <c r="R39" t="inlineStr"/>
      <c r="S39" t="inlineStr"/>
    </row>
    <row r="40">
      <c r="A40" t="inlineStr">
        <is>
          <t>QA</t>
        </is>
      </c>
      <c r="B40" s="28" t="inlineStr">
        <is>
          <t>FILTER-11368</t>
        </is>
      </c>
      <c r="C40" s="20" t="inlineStr">
        <is>
          <t>Manual QA Validation for Custom Group Creation Duration Requirement</t>
        </is>
      </c>
      <c r="D40" t="inlineStr">
        <is>
          <t>FILTER-9069</t>
        </is>
      </c>
      <c r="E40" t="inlineStr">
        <is>
          <t>Escape Defect</t>
        </is>
      </c>
      <c r="F40" t="inlineStr">
        <is>
          <t>Ayesha Kamde</t>
        </is>
      </c>
      <c r="G40" t="inlineStr">
        <is>
          <t>Done</t>
        </is>
      </c>
      <c r="H40" t="inlineStr"/>
      <c r="I40" t="inlineStr">
        <is>
          <t>P3</t>
        </is>
      </c>
      <c r="J40" s="29" t="n">
        <v>46000</v>
      </c>
      <c r="L40" s="29" t="n">
        <v>46036</v>
      </c>
      <c r="M40" t="inlineStr">
        <is>
          <t>sprint-Arthur</t>
        </is>
      </c>
      <c r="N40" s="11" t="n">
        <v>0.15</v>
      </c>
      <c r="O40" s="11" t="n">
        <v>1</v>
      </c>
      <c r="P40" t="inlineStr">
        <is>
          <t>FILTER</t>
        </is>
      </c>
      <c r="Q40" t="inlineStr"/>
      <c r="R40" t="inlineStr"/>
      <c r="S40" t="inlineStr"/>
    </row>
    <row r="41">
      <c r="A41" t="inlineStr">
        <is>
          <t>QA</t>
        </is>
      </c>
      <c r="B41" s="28" t="inlineStr">
        <is>
          <t>FILTER-11417</t>
        </is>
      </c>
      <c r="C41" s="20" t="inlineStr">
        <is>
          <t>QA - Fix the Math.fun Signatures</t>
        </is>
      </c>
      <c r="D41" t="inlineStr">
        <is>
          <t>FILTER-11407</t>
        </is>
      </c>
      <c r="E41" t="inlineStr">
        <is>
          <t>Task</t>
        </is>
      </c>
      <c r="F41" t="inlineStr">
        <is>
          <t>Ayesha Kamde</t>
        </is>
      </c>
      <c r="G41" t="inlineStr">
        <is>
          <t>Done</t>
        </is>
      </c>
      <c r="H41" t="inlineStr"/>
      <c r="I41" t="inlineStr">
        <is>
          <t>P1</t>
        </is>
      </c>
      <c r="J41" s="29" t="n">
        <v>46002</v>
      </c>
      <c r="L41" s="29" t="n">
        <v>46033</v>
      </c>
      <c r="M41" t="inlineStr">
        <is>
          <t>sprint-Arthur</t>
        </is>
      </c>
      <c r="N41" s="11" t="n">
        <v>5</v>
      </c>
      <c r="O41" s="11" t="n">
        <v>3</v>
      </c>
      <c r="P41" t="inlineStr">
        <is>
          <t>FILTER</t>
        </is>
      </c>
      <c r="Q41" t="inlineStr"/>
      <c r="R41" t="inlineStr"/>
      <c r="S41" t="inlineStr"/>
    </row>
    <row r="42">
      <c r="A42" t="inlineStr">
        <is>
          <t>QA</t>
        </is>
      </c>
      <c r="B42" s="28" t="inlineStr">
        <is>
          <t>FILTER-11503</t>
        </is>
      </c>
      <c r="C42" s="20" t="inlineStr">
        <is>
          <t>Manual QA Validation: admin.google.com Accessibility (US-West SmartPAC)</t>
        </is>
      </c>
      <c r="D42" t="inlineStr">
        <is>
          <t>FILTER-9255</t>
        </is>
      </c>
      <c r="E42" t="inlineStr">
        <is>
          <t>Escape Defect</t>
        </is>
      </c>
      <c r="F42" t="inlineStr">
        <is>
          <t>Ayesha Kamde</t>
        </is>
      </c>
      <c r="G42" t="inlineStr">
        <is>
          <t>Closed without action</t>
        </is>
      </c>
      <c r="H42" t="inlineStr"/>
      <c r="I42" t="inlineStr">
        <is>
          <t>P3</t>
        </is>
      </c>
      <c r="J42" s="29" t="n">
        <v>46010</v>
      </c>
      <c r="L42" s="29" t="n">
        <v>46033</v>
      </c>
      <c r="M42" t="inlineStr">
        <is>
          <t>sprint-Arthur</t>
        </is>
      </c>
      <c r="N42" s="11" t="n">
        <v>0</v>
      </c>
      <c r="O42" s="11" t="n">
        <v>2</v>
      </c>
      <c r="P42" t="inlineStr">
        <is>
          <t>FILTER</t>
        </is>
      </c>
      <c r="Q42" t="inlineStr"/>
      <c r="R42" t="inlineStr"/>
      <c r="S42" t="inlineStr"/>
    </row>
    <row r="43">
      <c r="A43" t="inlineStr">
        <is>
          <t>QA</t>
        </is>
      </c>
      <c r="B43" s="28" t="inlineStr">
        <is>
          <t>FILTER-11506</t>
        </is>
      </c>
      <c r="C43" s="20" t="inlineStr">
        <is>
          <t>Manual QA Validation: UK Cluster Activity Log Availability and Backfill Verification</t>
        </is>
      </c>
      <c r="D43" t="inlineStr">
        <is>
          <t>FILTER-11071</t>
        </is>
      </c>
      <c r="E43" t="inlineStr">
        <is>
          <t>Task</t>
        </is>
      </c>
      <c r="F43" t="inlineStr">
        <is>
          <t>Ayesha Kamde</t>
        </is>
      </c>
      <c r="G43" t="inlineStr">
        <is>
          <t>Closed without action</t>
        </is>
      </c>
      <c r="H43" t="inlineStr"/>
      <c r="I43" t="inlineStr">
        <is>
          <t>P1</t>
        </is>
      </c>
      <c r="J43" s="29" t="n">
        <v>46010</v>
      </c>
      <c r="L43" s="29" t="n">
        <v>46041</v>
      </c>
      <c r="M43" t="inlineStr">
        <is>
          <t>sprint-Arthur</t>
        </is>
      </c>
      <c r="N43" s="11" t="n">
        <v>0.15</v>
      </c>
      <c r="O43" s="11" t="n">
        <v>6</v>
      </c>
      <c r="P43" t="inlineStr">
        <is>
          <t>FILTER</t>
        </is>
      </c>
      <c r="Q43" t="inlineStr"/>
      <c r="R43" t="inlineStr"/>
      <c r="S43" t="inlineStr"/>
    </row>
    <row r="44">
      <c r="A44" t="inlineStr">
        <is>
          <t>QA</t>
        </is>
      </c>
      <c r="B44" s="28" t="inlineStr">
        <is>
          <t>FILTER-11529</t>
        </is>
      </c>
      <c r="C44" s="20" t="inlineStr">
        <is>
          <t>Manual QA Validation: Audit Log Row Stability (RTQA4 &amp; USwest)</t>
        </is>
      </c>
      <c r="D44" t="inlineStr">
        <is>
          <t>FILTER-10247</t>
        </is>
      </c>
      <c r="E44" t="inlineStr">
        <is>
          <t>Defect</t>
        </is>
      </c>
      <c r="F44" t="inlineStr">
        <is>
          <t>Ayesha Kamde</t>
        </is>
      </c>
      <c r="G44" t="inlineStr">
        <is>
          <t>Done</t>
        </is>
      </c>
      <c r="H44" t="inlineStr"/>
      <c r="I44" t="inlineStr">
        <is>
          <t>P3</t>
        </is>
      </c>
      <c r="J44" s="29" t="n">
        <v>46010</v>
      </c>
      <c r="L44" s="29" t="n">
        <v>46038</v>
      </c>
      <c r="M44" t="inlineStr">
        <is>
          <t>sprint-Arthur</t>
        </is>
      </c>
      <c r="N44" s="11" t="n">
        <v>2</v>
      </c>
      <c r="O44" s="11" t="n">
        <v>1</v>
      </c>
      <c r="P44" t="inlineStr">
        <is>
          <t>FILTER</t>
        </is>
      </c>
      <c r="Q44" t="inlineStr"/>
      <c r="R44" t="inlineStr"/>
      <c r="S44" t="inlineStr"/>
    </row>
    <row r="45">
      <c r="A45" t="inlineStr">
        <is>
          <t>QA</t>
        </is>
      </c>
      <c r="B45" s="28" t="inlineStr">
        <is>
          <t>FILTER-11551</t>
        </is>
      </c>
      <c r="C45" s="20" t="inlineStr">
        <is>
          <t>Manual QA Validation: "Uncategorized" Block vs. Academic Subdomains</t>
        </is>
      </c>
      <c r="D45" t="inlineStr">
        <is>
          <t>FILTER-11293</t>
        </is>
      </c>
      <c r="E45" t="inlineStr">
        <is>
          <t>Escape Defect</t>
        </is>
      </c>
      <c r="F45" t="inlineStr">
        <is>
          <t>Ayesha Kamde</t>
        </is>
      </c>
      <c r="G45" t="inlineStr">
        <is>
          <t>Done</t>
        </is>
      </c>
      <c r="H45" t="inlineStr"/>
      <c r="I45" t="inlineStr">
        <is>
          <t>P2</t>
        </is>
      </c>
      <c r="J45" s="29" t="n">
        <v>46012</v>
      </c>
      <c r="L45" s="29" t="n">
        <v>46028</v>
      </c>
      <c r="M45" t="inlineStr">
        <is>
          <t>sprint-Arthur</t>
        </is>
      </c>
      <c r="N45" s="11" t="n">
        <v>5</v>
      </c>
      <c r="O45" s="11" t="n">
        <v>0</v>
      </c>
      <c r="P45" t="inlineStr">
        <is>
          <t>FILTER</t>
        </is>
      </c>
      <c r="Q45" t="inlineStr"/>
      <c r="R45" t="inlineStr"/>
      <c r="S45" t="inlineStr"/>
    </row>
    <row r="46">
      <c r="A46" t="inlineStr">
        <is>
          <t>QA</t>
        </is>
      </c>
      <c r="B46" s="28" t="inlineStr">
        <is>
          <t>FILTER-11576</t>
        </is>
      </c>
      <c r="C46" s="20" t="inlineStr">
        <is>
          <t>Manual QA Validation: Broker Stability Audit &amp; Log Monitoring</t>
        </is>
      </c>
      <c r="D46" t="inlineStr">
        <is>
          <t>FILTER-11478</t>
        </is>
      </c>
      <c r="E46" t="inlineStr">
        <is>
          <t>Escape Defect</t>
        </is>
      </c>
      <c r="F46" t="inlineStr">
        <is>
          <t>Ayesha Kamde</t>
        </is>
      </c>
      <c r="G46" t="inlineStr">
        <is>
          <t>Done</t>
        </is>
      </c>
      <c r="H46" t="inlineStr"/>
      <c r="I46" t="inlineStr">
        <is>
          <t>P1</t>
        </is>
      </c>
      <c r="J46" s="29" t="n">
        <v>46027</v>
      </c>
      <c r="L46" s="29" t="n">
        <v>46031</v>
      </c>
      <c r="M46" t="inlineStr">
        <is>
          <t>sprint-Arthur</t>
        </is>
      </c>
      <c r="N46" s="11" t="n">
        <v>4</v>
      </c>
      <c r="O46" s="11" t="n">
        <v>4</v>
      </c>
      <c r="P46" t="inlineStr">
        <is>
          <t>FILTER</t>
        </is>
      </c>
      <c r="Q46" t="inlineStr"/>
      <c r="R46" t="inlineStr"/>
      <c r="S46" t="inlineStr"/>
    </row>
    <row r="47">
      <c r="A47" t="inlineStr">
        <is>
          <t>QA</t>
        </is>
      </c>
      <c r="B47" s="28" t="inlineStr">
        <is>
          <t>FILTER-11820</t>
        </is>
      </c>
      <c r="C47" s="20" t="inlineStr">
        <is>
          <t xml:space="preserve">Post release validation </t>
        </is>
      </c>
      <c r="D47" t="inlineStr">
        <is>
          <t>FILTER-6563</t>
        </is>
      </c>
      <c r="E47" t="inlineStr">
        <is>
          <t>Escape Defect</t>
        </is>
      </c>
      <c r="F47" t="inlineStr">
        <is>
          <t>Ayesha Kamde</t>
        </is>
      </c>
      <c r="G47" t="inlineStr">
        <is>
          <t>Closed without action</t>
        </is>
      </c>
      <c r="H47" t="inlineStr"/>
      <c r="I47" t="inlineStr">
        <is>
          <t>P3</t>
        </is>
      </c>
      <c r="J47" s="29" t="n">
        <v>46051</v>
      </c>
      <c r="L47" s="29" t="n">
        <v>46051</v>
      </c>
      <c r="M47" t="inlineStr">
        <is>
          <t>sprint-Arthur</t>
        </is>
      </c>
      <c r="N47" s="11" t="n">
        <v>2</v>
      </c>
      <c r="O47" s="11" t="n">
        <v>2</v>
      </c>
      <c r="P47" t="inlineStr">
        <is>
          <t>FILTER</t>
        </is>
      </c>
      <c r="Q47" t="inlineStr"/>
      <c r="R47" t="inlineStr"/>
      <c r="S47" t="inlineStr"/>
    </row>
    <row r="48">
      <c r="A48" t="inlineStr">
        <is>
          <t>Task</t>
        </is>
      </c>
      <c r="B48" s="28" t="inlineStr">
        <is>
          <t>FDSE-108</t>
        </is>
      </c>
      <c r="C48" s="20" t="inlineStr">
        <is>
          <t>Implementation of Modal as per the design</t>
        </is>
      </c>
      <c r="D48" t="inlineStr">
        <is>
          <t>FDSE-107</t>
        </is>
      </c>
      <c r="E48" t="inlineStr">
        <is>
          <t>Epic</t>
        </is>
      </c>
      <c r="F48" t="inlineStr">
        <is>
          <t>Harshada Kude</t>
        </is>
      </c>
      <c r="G48" t="inlineStr">
        <is>
          <t>Closed</t>
        </is>
      </c>
      <c r="H48" t="inlineStr">
        <is>
          <t>Fixed</t>
        </is>
      </c>
      <c r="I48" t="inlineStr">
        <is>
          <t>P3</t>
        </is>
      </c>
      <c r="J48" s="29" t="n">
        <v>45981</v>
      </c>
      <c r="K48" s="29" t="n">
        <v>46013</v>
      </c>
      <c r="L48" s="29" t="n">
        <v>46054</v>
      </c>
      <c r="M48" t="inlineStr">
        <is>
          <t>sprint-Arthur</t>
        </is>
      </c>
      <c r="N48" s="11" t="n">
        <v>24</v>
      </c>
      <c r="O48" s="11" t="n">
        <v>12</v>
      </c>
      <c r="P48" t="inlineStr">
        <is>
          <t>FDSE</t>
        </is>
      </c>
      <c r="Q48" t="inlineStr">
        <is>
          <t>product-filter</t>
        </is>
      </c>
      <c r="R48" t="inlineStr"/>
      <c r="S48" t="inlineStr"/>
    </row>
    <row r="49">
      <c r="A49" t="inlineStr">
        <is>
          <t>Task</t>
        </is>
      </c>
      <c r="B49" s="28" t="inlineStr">
        <is>
          <t>FDSE-110</t>
        </is>
      </c>
      <c r="C49" s="20" t="inlineStr">
        <is>
          <t>Implementation of Side drawer as per the design</t>
        </is>
      </c>
      <c r="D49" t="inlineStr">
        <is>
          <t>FDSE-109</t>
        </is>
      </c>
      <c r="E49" t="inlineStr">
        <is>
          <t>Epic</t>
        </is>
      </c>
      <c r="F49" t="inlineStr">
        <is>
          <t>Harshada Kude</t>
        </is>
      </c>
      <c r="G49" t="inlineStr">
        <is>
          <t>Closed</t>
        </is>
      </c>
      <c r="H49" t="inlineStr">
        <is>
          <t>Fixed</t>
        </is>
      </c>
      <c r="I49" t="inlineStr">
        <is>
          <t>P3</t>
        </is>
      </c>
      <c r="J49" s="29" t="n">
        <v>45981</v>
      </c>
      <c r="K49" s="29" t="n">
        <v>46041</v>
      </c>
      <c r="L49" s="29" t="n">
        <v>46054</v>
      </c>
      <c r="M49" t="inlineStr">
        <is>
          <t>sprint-Arthur</t>
        </is>
      </c>
      <c r="N49" s="11" t="n">
        <v>28</v>
      </c>
      <c r="O49" s="11" t="n">
        <v>24</v>
      </c>
      <c r="P49" t="inlineStr">
        <is>
          <t>FDSE</t>
        </is>
      </c>
      <c r="Q49" t="inlineStr">
        <is>
          <t>product-filter</t>
        </is>
      </c>
      <c r="R49" t="inlineStr"/>
      <c r="S49" t="inlineStr"/>
    </row>
    <row r="50">
      <c r="A50" t="inlineStr">
        <is>
          <t>Dev</t>
        </is>
      </c>
      <c r="B50" s="28" t="inlineStr">
        <is>
          <t>FILTER-11450</t>
        </is>
      </c>
      <c r="C50" s="20" t="inlineStr">
        <is>
          <t>Dev Task</t>
        </is>
      </c>
      <c r="D50" t="inlineStr">
        <is>
          <t>FILTER-11449</t>
        </is>
      </c>
      <c r="E50" t="inlineStr">
        <is>
          <t>Task</t>
        </is>
      </c>
      <c r="F50" t="inlineStr">
        <is>
          <t>Prateek Fotedar</t>
        </is>
      </c>
      <c r="G50" t="inlineStr">
        <is>
          <t>Done</t>
        </is>
      </c>
      <c r="H50" t="inlineStr"/>
      <c r="I50" t="inlineStr">
        <is>
          <t>P2</t>
        </is>
      </c>
      <c r="J50" s="29" t="n">
        <v>46006</v>
      </c>
      <c r="L50" s="29" t="n">
        <v>46038</v>
      </c>
      <c r="M50" t="inlineStr">
        <is>
          <t>sprint-Arthur</t>
        </is>
      </c>
      <c r="N50" s="11" t="n">
        <v>13</v>
      </c>
      <c r="O50" s="11" t="n">
        <v>13</v>
      </c>
      <c r="P50" t="inlineStr">
        <is>
          <t>FILTER</t>
        </is>
      </c>
      <c r="Q50" t="inlineStr"/>
      <c r="R50" t="inlineStr"/>
      <c r="S50" t="inlineStr"/>
    </row>
    <row r="51">
      <c r="A51" t="inlineStr">
        <is>
          <t>Dev</t>
        </is>
      </c>
      <c r="B51" s="28" t="inlineStr">
        <is>
          <t>FILTER-11523</t>
        </is>
      </c>
      <c r="C51" s="20" t="inlineStr">
        <is>
          <t>Implement Automated Email Alerts for On-Call Status Deactivation</t>
        </is>
      </c>
      <c r="D51" t="inlineStr">
        <is>
          <t>FILTER-5170</t>
        </is>
      </c>
      <c r="E51" t="inlineStr">
        <is>
          <t>Task</t>
        </is>
      </c>
      <c r="F51" t="inlineStr">
        <is>
          <t>Prateek Fotedar</t>
        </is>
      </c>
      <c r="G51" t="inlineStr">
        <is>
          <t>Done</t>
        </is>
      </c>
      <c r="H51" t="inlineStr"/>
      <c r="I51" t="inlineStr">
        <is>
          <t>P1</t>
        </is>
      </c>
      <c r="J51" s="29" t="n">
        <v>46010</v>
      </c>
      <c r="L51" s="29" t="n">
        <v>46034</v>
      </c>
      <c r="M51" t="inlineStr">
        <is>
          <t>sprint-Arthur</t>
        </is>
      </c>
      <c r="N51" s="11" t="n">
        <v>7</v>
      </c>
      <c r="O51" s="11" t="n">
        <v>7</v>
      </c>
      <c r="P51" t="inlineStr">
        <is>
          <t>FILTER</t>
        </is>
      </c>
      <c r="Q51" t="inlineStr"/>
      <c r="R51" t="inlineStr"/>
      <c r="S51" t="inlineStr"/>
    </row>
    <row r="52">
      <c r="A52" t="inlineStr">
        <is>
          <t>Task</t>
        </is>
      </c>
      <c r="B52" s="28" t="inlineStr">
        <is>
          <t>FILTER-11563</t>
        </is>
      </c>
      <c r="C52" s="20" t="inlineStr">
        <is>
          <t>case when securlyCustomListId is invalid</t>
        </is>
      </c>
      <c r="D52" t="inlineStr">
        <is>
          <t>FILTER-3618</t>
        </is>
      </c>
      <c r="E52" t="inlineStr">
        <is>
          <t>Epic</t>
        </is>
      </c>
      <c r="F52" t="inlineStr">
        <is>
          <t>Prateek Fotedar</t>
        </is>
      </c>
      <c r="G52" t="inlineStr">
        <is>
          <t>Closed</t>
        </is>
      </c>
      <c r="H52" t="inlineStr"/>
      <c r="I52" t="inlineStr">
        <is>
          <t>P3</t>
        </is>
      </c>
      <c r="J52" s="29" t="n">
        <v>46024</v>
      </c>
      <c r="L52" s="29" t="n">
        <v>46050</v>
      </c>
      <c r="M52" t="inlineStr">
        <is>
          <t>sprint-Arthur</t>
        </is>
      </c>
      <c r="N52" s="11" t="n">
        <v>2.5</v>
      </c>
      <c r="O52" s="11" t="n">
        <v>0</v>
      </c>
      <c r="P52" t="inlineStr">
        <is>
          <t>FILTER</t>
        </is>
      </c>
      <c r="Q52" t="inlineStr">
        <is>
          <t>Capitalized-Feature</t>
        </is>
      </c>
      <c r="R52" t="inlineStr"/>
      <c r="S52" t="inlineStr"/>
    </row>
    <row r="53">
      <c r="A53" t="inlineStr">
        <is>
          <t>Dev</t>
        </is>
      </c>
      <c r="B53" s="28" t="inlineStr">
        <is>
          <t>FILTER-11570</t>
        </is>
      </c>
      <c r="C53" s="20" t="inlineStr">
        <is>
          <t>Dev Task</t>
        </is>
      </c>
      <c r="D53" t="inlineStr">
        <is>
          <t>FILTER-11563</t>
        </is>
      </c>
      <c r="E53" t="inlineStr">
        <is>
          <t>Task</t>
        </is>
      </c>
      <c r="F53" t="inlineStr">
        <is>
          <t>Prateek Fotedar</t>
        </is>
      </c>
      <c r="G53" t="inlineStr">
        <is>
          <t>Done</t>
        </is>
      </c>
      <c r="H53" t="inlineStr"/>
      <c r="I53" t="inlineStr">
        <is>
          <t>P3</t>
        </is>
      </c>
      <c r="J53" s="29" t="n">
        <v>46024</v>
      </c>
      <c r="L53" s="29" t="n">
        <v>46043</v>
      </c>
      <c r="M53" t="inlineStr">
        <is>
          <t>sprint-Arthur</t>
        </is>
      </c>
      <c r="N53" s="11" t="n">
        <v>2.5</v>
      </c>
      <c r="O53" s="11" t="n">
        <v>2.5</v>
      </c>
      <c r="P53" t="inlineStr">
        <is>
          <t>FILTER</t>
        </is>
      </c>
      <c r="Q53" t="inlineStr">
        <is>
          <t>Capitalized-Feature</t>
        </is>
      </c>
      <c r="R53" t="inlineStr"/>
      <c r="S53" t="inlineStr"/>
    </row>
    <row r="54">
      <c r="A54" t="inlineStr">
        <is>
          <t>Dev</t>
        </is>
      </c>
      <c r="B54" s="28" t="inlineStr">
        <is>
          <t>FILTER-11616</t>
        </is>
      </c>
      <c r="C54" s="20" t="inlineStr">
        <is>
          <t>Issue in the custom list API</t>
        </is>
      </c>
      <c r="D54" t="inlineStr">
        <is>
          <t>FILTER-11604</t>
        </is>
      </c>
      <c r="E54" t="inlineStr">
        <is>
          <t>Defect</t>
        </is>
      </c>
      <c r="F54" t="inlineStr">
        <is>
          <t>Prateek Fotedar</t>
        </is>
      </c>
      <c r="G54" t="inlineStr">
        <is>
          <t>Done</t>
        </is>
      </c>
      <c r="H54" t="inlineStr"/>
      <c r="I54" t="inlineStr">
        <is>
          <t>P3</t>
        </is>
      </c>
      <c r="J54" s="29" t="n">
        <v>46033</v>
      </c>
      <c r="L54" s="29" t="n">
        <v>46043</v>
      </c>
      <c r="M54" t="inlineStr">
        <is>
          <t>sprint-Arthur</t>
        </is>
      </c>
      <c r="N54" s="11" t="n">
        <v>5</v>
      </c>
      <c r="O54" s="11" t="n">
        <v>5</v>
      </c>
      <c r="P54" t="inlineStr">
        <is>
          <t>FILTER</t>
        </is>
      </c>
      <c r="Q54" t="inlineStr">
        <is>
          <t>Capitalized-Feature</t>
        </is>
      </c>
      <c r="R54" t="inlineStr"/>
      <c r="S54" t="inlineStr"/>
    </row>
    <row r="55">
      <c r="A55" t="inlineStr">
        <is>
          <t>Dev</t>
        </is>
      </c>
      <c r="B55" s="28" t="inlineStr">
        <is>
          <t>FILTER-11623</t>
        </is>
      </c>
      <c r="C55" s="20" t="inlineStr">
        <is>
          <t>Fix PUT /api/custom-list/resource HTTP 500 Error on Idempotent Updates</t>
        </is>
      </c>
      <c r="D55" t="inlineStr">
        <is>
          <t>FILTER-11614</t>
        </is>
      </c>
      <c r="E55" t="inlineStr">
        <is>
          <t>Defect</t>
        </is>
      </c>
      <c r="F55" t="inlineStr">
        <is>
          <t>Prateek Fotedar</t>
        </is>
      </c>
      <c r="G55" t="inlineStr">
        <is>
          <t>Done</t>
        </is>
      </c>
      <c r="H55" t="inlineStr"/>
      <c r="I55" t="inlineStr">
        <is>
          <t>P3</t>
        </is>
      </c>
      <c r="J55" s="29" t="n">
        <v>46034</v>
      </c>
      <c r="L55" s="29" t="n">
        <v>46043</v>
      </c>
      <c r="M55" t="inlineStr">
        <is>
          <t>sprint-Arthur</t>
        </is>
      </c>
      <c r="N55" s="11" t="n">
        <v>2</v>
      </c>
      <c r="O55" s="11" t="n">
        <v>2</v>
      </c>
      <c r="P55" t="inlineStr">
        <is>
          <t>FILTER</t>
        </is>
      </c>
      <c r="Q55" t="inlineStr">
        <is>
          <t>Capitalized-Feature</t>
        </is>
      </c>
      <c r="R55" t="inlineStr"/>
      <c r="S55" t="inlineStr"/>
    </row>
    <row r="56">
      <c r="A56" t="inlineStr">
        <is>
          <t>Dev</t>
        </is>
      </c>
      <c r="B56" s="28" t="inlineStr">
        <is>
          <t>FILTER-11624</t>
        </is>
      </c>
      <c r="C56" s="20" t="inlineStr">
        <is>
          <t>Update API validation to check resourceId ownership in PUT /api/custom-list/resource</t>
        </is>
      </c>
      <c r="D56" t="inlineStr">
        <is>
          <t>FILTER-11615</t>
        </is>
      </c>
      <c r="E56" t="inlineStr">
        <is>
          <t>Defect</t>
        </is>
      </c>
      <c r="F56" t="inlineStr">
        <is>
          <t>Prateek Fotedar</t>
        </is>
      </c>
      <c r="G56" t="inlineStr">
        <is>
          <t>Done</t>
        </is>
      </c>
      <c r="H56" t="inlineStr"/>
      <c r="I56" t="inlineStr">
        <is>
          <t>P3</t>
        </is>
      </c>
      <c r="J56" s="29" t="n">
        <v>46035</v>
      </c>
      <c r="L56" s="29" t="n">
        <v>46043</v>
      </c>
      <c r="M56" t="inlineStr">
        <is>
          <t>sprint-Arthur</t>
        </is>
      </c>
      <c r="N56" s="11" t="n">
        <v>1</v>
      </c>
      <c r="O56" s="11" t="n">
        <v>1</v>
      </c>
      <c r="P56" t="inlineStr">
        <is>
          <t>FILTER</t>
        </is>
      </c>
      <c r="Q56" t="inlineStr">
        <is>
          <t>Capitalized-Feature</t>
        </is>
      </c>
      <c r="R56" t="inlineStr"/>
      <c r="S56" t="inlineStr"/>
    </row>
    <row r="57">
      <c r="A57" t="inlineStr">
        <is>
          <t>Dev</t>
        </is>
      </c>
      <c r="B57" s="28" t="inlineStr">
        <is>
          <t>FILTER-11625</t>
        </is>
      </c>
      <c r="C57" s="20" t="inlineStr">
        <is>
          <t>Implement input validation for 'page' and 'limit' query parameters in GET /api/custom-list</t>
        </is>
      </c>
      <c r="D57" t="inlineStr">
        <is>
          <t>FILTER-11619</t>
        </is>
      </c>
      <c r="E57" t="inlineStr">
        <is>
          <t>Defect</t>
        </is>
      </c>
      <c r="F57" t="inlineStr">
        <is>
          <t>Prateek Fotedar</t>
        </is>
      </c>
      <c r="G57" t="inlineStr">
        <is>
          <t>Done</t>
        </is>
      </c>
      <c r="H57" t="inlineStr"/>
      <c r="I57" t="inlineStr">
        <is>
          <t>P3</t>
        </is>
      </c>
      <c r="J57" s="29" t="n">
        <v>46035</v>
      </c>
      <c r="L57" s="29" t="n">
        <v>46043</v>
      </c>
      <c r="M57" t="inlineStr">
        <is>
          <t>sprint-Arthur</t>
        </is>
      </c>
      <c r="N57" s="11" t="n">
        <v>1.5</v>
      </c>
      <c r="O57" s="11" t="n">
        <v>1.5</v>
      </c>
      <c r="P57" t="inlineStr">
        <is>
          <t>FILTER</t>
        </is>
      </c>
      <c r="Q57" t="inlineStr">
        <is>
          <t>Capitalized-Feature</t>
        </is>
      </c>
      <c r="R57" t="inlineStr"/>
      <c r="S57" t="inlineStr"/>
    </row>
    <row r="58">
      <c r="A58" t="inlineStr">
        <is>
          <t>Task</t>
        </is>
      </c>
      <c r="B58" s="28" t="inlineStr">
        <is>
          <t>FILTER-10738</t>
        </is>
      </c>
      <c r="C58" s="20" t="inlineStr">
        <is>
          <t>[sprox] main.rs module separation - Part 1</t>
        </is>
      </c>
      <c r="D58" t="inlineStr">
        <is>
          <t>FILTER-8230</t>
        </is>
      </c>
      <c r="E58" t="inlineStr">
        <is>
          <t>Epic</t>
        </is>
      </c>
      <c r="F58" t="inlineStr">
        <is>
          <t>Pratik Tiwari</t>
        </is>
      </c>
      <c r="G58" t="inlineStr">
        <is>
          <t>Closed</t>
        </is>
      </c>
      <c r="H58" t="inlineStr">
        <is>
          <t>Fixed</t>
        </is>
      </c>
      <c r="I58" t="inlineStr">
        <is>
          <t>P2</t>
        </is>
      </c>
      <c r="J58" s="29" t="n">
        <v>45971</v>
      </c>
      <c r="K58" s="29" t="n">
        <v>46033</v>
      </c>
      <c r="L58" s="29" t="n">
        <v>46054</v>
      </c>
      <c r="M58" t="inlineStr">
        <is>
          <t>sprint-Arthur</t>
        </is>
      </c>
      <c r="N58" s="11" t="n">
        <v>8</v>
      </c>
      <c r="O58" s="11" t="n">
        <v>8</v>
      </c>
      <c r="P58" t="inlineStr">
        <is>
          <t>FILTER</t>
        </is>
      </c>
      <c r="Q58" t="inlineStr"/>
      <c r="R58" t="inlineStr"/>
      <c r="S58" t="inlineStr"/>
    </row>
    <row r="59">
      <c r="A59" t="inlineStr">
        <is>
          <t>Dev</t>
        </is>
      </c>
      <c r="B59" s="28" t="inlineStr">
        <is>
          <t>FILTER-11353</t>
        </is>
      </c>
      <c r="C59" s="20" t="inlineStr">
        <is>
          <t>[sprox] main.rs module separation - Part 1</t>
        </is>
      </c>
      <c r="D59" t="inlineStr">
        <is>
          <t>FILTER-10738</t>
        </is>
      </c>
      <c r="E59" t="inlineStr">
        <is>
          <t>Task</t>
        </is>
      </c>
      <c r="F59" t="inlineStr">
        <is>
          <t>Pratik Tiwari</t>
        </is>
      </c>
      <c r="G59" t="inlineStr">
        <is>
          <t>Closed without action</t>
        </is>
      </c>
      <c r="H59" t="inlineStr"/>
      <c r="I59" t="inlineStr">
        <is>
          <t>P3</t>
        </is>
      </c>
      <c r="J59" s="29" t="n">
        <v>45999</v>
      </c>
      <c r="L59" s="29" t="n">
        <v>46037</v>
      </c>
      <c r="M59" t="inlineStr">
        <is>
          <t>sprint-Arthur</t>
        </is>
      </c>
      <c r="N59" s="11" t="n">
        <v>0</v>
      </c>
      <c r="O59" s="11" t="n">
        <v>10</v>
      </c>
      <c r="P59" t="inlineStr">
        <is>
          <t>FILTER</t>
        </is>
      </c>
      <c r="Q59" t="inlineStr"/>
      <c r="R59" t="inlineStr"/>
      <c r="S59" t="inlineStr"/>
    </row>
    <row r="60">
      <c r="A60" t="inlineStr">
        <is>
          <t>Dev</t>
        </is>
      </c>
      <c r="B60" s="28" t="inlineStr">
        <is>
          <t>FILTER-11415</t>
        </is>
      </c>
      <c r="C60" s="20" t="inlineStr">
        <is>
          <t>Fix the Math.fun Signatures</t>
        </is>
      </c>
      <c r="D60" t="inlineStr">
        <is>
          <t>FILTER-11407</t>
        </is>
      </c>
      <c r="E60" t="inlineStr">
        <is>
          <t>Task</t>
        </is>
      </c>
      <c r="F60" t="inlineStr">
        <is>
          <t>Pratik Tiwari</t>
        </is>
      </c>
      <c r="G60" t="inlineStr">
        <is>
          <t>Done</t>
        </is>
      </c>
      <c r="H60" t="inlineStr"/>
      <c r="I60" t="inlineStr">
        <is>
          <t>P1</t>
        </is>
      </c>
      <c r="J60" s="29" t="n">
        <v>46002</v>
      </c>
      <c r="L60" s="29" t="n">
        <v>46033</v>
      </c>
      <c r="M60" t="inlineStr">
        <is>
          <t>sprint-Arthur</t>
        </is>
      </c>
      <c r="N60" s="11" t="n">
        <v>0</v>
      </c>
      <c r="O60" s="11" t="n">
        <v>8</v>
      </c>
      <c r="P60" t="inlineStr">
        <is>
          <t>FILTER</t>
        </is>
      </c>
      <c r="Q60" t="inlineStr"/>
      <c r="R60" t="inlineStr"/>
      <c r="S60" t="inlineStr"/>
    </row>
    <row r="61">
      <c r="A61" t="inlineStr">
        <is>
          <t>Dev</t>
        </is>
      </c>
      <c r="B61" s="28" t="inlineStr">
        <is>
          <t>FILTER-11627</t>
        </is>
      </c>
      <c r="C61" s="20" t="inlineStr">
        <is>
          <t>clever.com</t>
        </is>
      </c>
      <c r="D61" t="inlineStr">
        <is>
          <t>FILTER-11626</t>
        </is>
      </c>
      <c r="E61" t="inlineStr">
        <is>
          <t>Task</t>
        </is>
      </c>
      <c r="F61" t="inlineStr">
        <is>
          <t>Pratik Tiwari</t>
        </is>
      </c>
      <c r="G61" t="inlineStr">
        <is>
          <t>Done</t>
        </is>
      </c>
      <c r="H61" t="inlineStr"/>
      <c r="I61" t="inlineStr">
        <is>
          <t>P2</t>
        </is>
      </c>
      <c r="J61" s="29" t="n">
        <v>46035</v>
      </c>
      <c r="L61" s="29" t="n">
        <v>46037</v>
      </c>
      <c r="M61" t="inlineStr">
        <is>
          <t>sprint-Arthur</t>
        </is>
      </c>
      <c r="N61" s="11" t="n">
        <v>8</v>
      </c>
      <c r="O61" s="11" t="n">
        <v>8</v>
      </c>
      <c r="P61" t="inlineStr">
        <is>
          <t>FILTER</t>
        </is>
      </c>
      <c r="Q61" t="inlineStr"/>
      <c r="R61" t="inlineStr"/>
      <c r="S61" t="inlineStr"/>
    </row>
    <row r="62">
      <c r="A62" t="inlineStr">
        <is>
          <t>Dev</t>
        </is>
      </c>
      <c r="B62" s="28" t="inlineStr">
        <is>
          <t>FILTER-11628</t>
        </is>
      </c>
      <c r="C62" s="20" t="inlineStr">
        <is>
          <t>Crextn marked S3 site as proxy</t>
        </is>
      </c>
      <c r="D62" t="inlineStr">
        <is>
          <t>FILTER-11626</t>
        </is>
      </c>
      <c r="E62" t="inlineStr">
        <is>
          <t>Task</t>
        </is>
      </c>
      <c r="F62" t="inlineStr">
        <is>
          <t>Pratik Tiwari</t>
        </is>
      </c>
      <c r="G62" t="inlineStr">
        <is>
          <t>Closed without action</t>
        </is>
      </c>
      <c r="H62" t="inlineStr"/>
      <c r="I62" t="inlineStr">
        <is>
          <t>P2</t>
        </is>
      </c>
      <c r="J62" s="29" t="n">
        <v>46035</v>
      </c>
      <c r="L62" s="29" t="n">
        <v>46038</v>
      </c>
      <c r="M62" t="inlineStr">
        <is>
          <t>sprint-Arthur</t>
        </is>
      </c>
      <c r="N62" s="11" t="n">
        <v>0</v>
      </c>
      <c r="O62" s="11" t="n">
        <v>0</v>
      </c>
      <c r="P62" t="inlineStr">
        <is>
          <t>FILTER</t>
        </is>
      </c>
      <c r="Q62" t="inlineStr"/>
      <c r="R62" t="inlineStr"/>
      <c r="S62" t="inlineStr"/>
    </row>
    <row r="63">
      <c r="A63" t="inlineStr">
        <is>
          <t>Dev</t>
        </is>
      </c>
      <c r="B63" s="28" t="inlineStr">
        <is>
          <t>FILTER-11629</t>
        </is>
      </c>
      <c r="C63" s="20" t="inlineStr">
        <is>
          <t>S3 and CDN miscategorized as Malware</t>
        </is>
      </c>
      <c r="D63" t="inlineStr">
        <is>
          <t>FILTER-11626</t>
        </is>
      </c>
      <c r="E63" t="inlineStr">
        <is>
          <t>Task</t>
        </is>
      </c>
      <c r="F63" t="inlineStr">
        <is>
          <t>Pratik Tiwari</t>
        </is>
      </c>
      <c r="G63" t="inlineStr">
        <is>
          <t>Closed without action</t>
        </is>
      </c>
      <c r="H63" t="inlineStr"/>
      <c r="I63" t="inlineStr">
        <is>
          <t>P2</t>
        </is>
      </c>
      <c r="J63" s="29" t="n">
        <v>46035</v>
      </c>
      <c r="L63" s="29" t="n">
        <v>46038</v>
      </c>
      <c r="M63" t="inlineStr">
        <is>
          <t>sprint-Arthur</t>
        </is>
      </c>
      <c r="N63" s="11" t="n">
        <v>0</v>
      </c>
      <c r="O63" s="11" t="n">
        <v>0</v>
      </c>
      <c r="P63" t="inlineStr">
        <is>
          <t>FILTER</t>
        </is>
      </c>
      <c r="Q63" t="inlineStr"/>
      <c r="R63" t="inlineStr"/>
      <c r="S63" t="inlineStr"/>
    </row>
    <row r="64">
      <c r="A64" t="inlineStr">
        <is>
          <t>Task</t>
        </is>
      </c>
      <c r="B64" s="28" t="inlineStr">
        <is>
          <t>FILTER-8088</t>
        </is>
      </c>
      <c r="C64" s="20" t="inlineStr">
        <is>
          <t>proxy signature to fingerprinting ruleset</t>
        </is>
      </c>
      <c r="D64" t="inlineStr"/>
      <c r="E64" t="inlineStr"/>
      <c r="F64" t="inlineStr">
        <is>
          <t>Pratik Tiwari</t>
        </is>
      </c>
      <c r="G64" t="inlineStr">
        <is>
          <t>Resolved</t>
        </is>
      </c>
      <c r="H64" t="inlineStr">
        <is>
          <t>Fixed</t>
        </is>
      </c>
      <c r="I64" t="inlineStr">
        <is>
          <t>P3</t>
        </is>
      </c>
      <c r="J64" s="29" t="n">
        <v>45777</v>
      </c>
      <c r="K64" s="29" t="n">
        <v>45929</v>
      </c>
      <c r="L64" s="29" t="n">
        <v>46055</v>
      </c>
      <c r="M64" t="inlineStr">
        <is>
          <t>sprint-Arthur</t>
        </is>
      </c>
      <c r="N64" s="11" t="n">
        <v>12</v>
      </c>
      <c r="O64" s="11" t="n">
        <v>12</v>
      </c>
      <c r="P64" t="inlineStr">
        <is>
          <t>FILTER</t>
        </is>
      </c>
      <c r="Q64" t="inlineStr"/>
      <c r="R64" t="inlineStr"/>
      <c r="S64" t="inlineStr"/>
    </row>
    <row r="65">
      <c r="A65" t="inlineStr">
        <is>
          <t>Automation</t>
        </is>
      </c>
      <c r="B65" s="28" t="inlineStr">
        <is>
          <t>FILTER-11018</t>
        </is>
      </c>
      <c r="C65" s="20" t="inlineStr">
        <is>
          <t>pkg-35 Regression Testing</t>
        </is>
      </c>
      <c r="D65" t="inlineStr">
        <is>
          <t>FILTER-11013</t>
        </is>
      </c>
      <c r="E65" t="inlineStr">
        <is>
          <t>Task</t>
        </is>
      </c>
      <c r="F65" t="inlineStr">
        <is>
          <t>Rachit Mishra</t>
        </is>
      </c>
      <c r="G65" t="inlineStr">
        <is>
          <t>Done</t>
        </is>
      </c>
      <c r="H65" t="inlineStr"/>
      <c r="I65" t="inlineStr">
        <is>
          <t>P3</t>
        </is>
      </c>
      <c r="J65" s="29" t="n">
        <v>45986</v>
      </c>
      <c r="L65" s="29" t="n">
        <v>46000</v>
      </c>
      <c r="M65" t="inlineStr">
        <is>
          <t>sprint-Arthur</t>
        </is>
      </c>
      <c r="N65" s="11" t="n">
        <v>3.5</v>
      </c>
      <c r="O65" s="11" t="n">
        <v>4</v>
      </c>
      <c r="P65" t="inlineStr">
        <is>
          <t>FILTER</t>
        </is>
      </c>
      <c r="Q65" t="inlineStr"/>
      <c r="R65" t="inlineStr"/>
      <c r="S65" t="inlineStr"/>
    </row>
    <row r="66">
      <c r="A66" t="inlineStr">
        <is>
          <t>Automation</t>
        </is>
      </c>
      <c r="B66" s="28" t="inlineStr">
        <is>
          <t>FILTER-11020</t>
        </is>
      </c>
      <c r="C66" s="20" t="inlineStr">
        <is>
          <t>Automated E2E Regression Test for Blocked + Flagged Activity Log Creation</t>
        </is>
      </c>
      <c r="D66" t="inlineStr">
        <is>
          <t>FILTER-10116</t>
        </is>
      </c>
      <c r="E66" t="inlineStr">
        <is>
          <t>Defect</t>
        </is>
      </c>
      <c r="F66" t="inlineStr">
        <is>
          <t>Rachit Mishra</t>
        </is>
      </c>
      <c r="G66" t="inlineStr">
        <is>
          <t>Done</t>
        </is>
      </c>
      <c r="H66" t="inlineStr"/>
      <c r="I66" t="inlineStr">
        <is>
          <t>P3</t>
        </is>
      </c>
      <c r="J66" s="29" t="n">
        <v>45986</v>
      </c>
      <c r="L66" s="29" t="n">
        <v>46042</v>
      </c>
      <c r="M66" t="inlineStr">
        <is>
          <t>sprint-Arthur</t>
        </is>
      </c>
      <c r="N66" s="11" t="n">
        <v>5.5</v>
      </c>
      <c r="O66" s="11" t="n">
        <v>4.5</v>
      </c>
      <c r="P66" t="inlineStr">
        <is>
          <t>FILTER</t>
        </is>
      </c>
      <c r="Q66" t="inlineStr"/>
      <c r="R66" t="inlineStr"/>
      <c r="S66" t="inlineStr"/>
    </row>
    <row r="67">
      <c r="A67" t="inlineStr">
        <is>
          <t>Automation</t>
        </is>
      </c>
      <c r="B67" s="28" t="inlineStr">
        <is>
          <t>FILTER-11026</t>
        </is>
      </c>
      <c r="C67" s="20" t="inlineStr">
        <is>
          <t>Automated E2E Regression Test for Double Logging: Validate Flag Icon and Status</t>
        </is>
      </c>
      <c r="D67" t="inlineStr">
        <is>
          <t>FILTER-7172</t>
        </is>
      </c>
      <c r="E67" t="inlineStr">
        <is>
          <t>Bug (OLD - use Defect instead)</t>
        </is>
      </c>
      <c r="F67" t="inlineStr">
        <is>
          <t>Rachit Mishra</t>
        </is>
      </c>
      <c r="G67" t="inlineStr">
        <is>
          <t>Done</t>
        </is>
      </c>
      <c r="H67" t="inlineStr"/>
      <c r="I67" t="inlineStr">
        <is>
          <t>P2</t>
        </is>
      </c>
      <c r="J67" s="29" t="n">
        <v>45986</v>
      </c>
      <c r="L67" s="29" t="n">
        <v>46042</v>
      </c>
      <c r="M67" t="inlineStr">
        <is>
          <t>sprint-Arthur</t>
        </is>
      </c>
      <c r="N67" s="11" t="n">
        <v>5.5</v>
      </c>
      <c r="O67" s="11" t="n">
        <v>5</v>
      </c>
      <c r="P67" t="inlineStr">
        <is>
          <t>FILTER</t>
        </is>
      </c>
      <c r="Q67" t="inlineStr"/>
      <c r="R67" t="inlineStr"/>
      <c r="S67" t="inlineStr"/>
    </row>
    <row r="68">
      <c r="A68" t="inlineStr">
        <is>
          <t>Automation</t>
        </is>
      </c>
      <c r="B68" s="28" t="inlineStr">
        <is>
          <t>FILTER-11451</t>
        </is>
      </c>
      <c r="C68" s="20" t="inlineStr">
        <is>
          <t>Automation Task</t>
        </is>
      </c>
      <c r="D68" t="inlineStr">
        <is>
          <t>FILTER-11449</t>
        </is>
      </c>
      <c r="E68" t="inlineStr">
        <is>
          <t>Task</t>
        </is>
      </c>
      <c r="F68" t="inlineStr">
        <is>
          <t>Rachit Mishra</t>
        </is>
      </c>
      <c r="G68" t="inlineStr">
        <is>
          <t>Done</t>
        </is>
      </c>
      <c r="H68" t="inlineStr"/>
      <c r="I68" t="inlineStr">
        <is>
          <t>P2</t>
        </is>
      </c>
      <c r="J68" s="29" t="n">
        <v>46006</v>
      </c>
      <c r="L68" s="29" t="n">
        <v>46041</v>
      </c>
      <c r="M68" t="inlineStr">
        <is>
          <t>sprint-Arthur</t>
        </is>
      </c>
      <c r="N68" s="11" t="n">
        <v>2</v>
      </c>
      <c r="O68" s="11" t="n">
        <v>2</v>
      </c>
      <c r="P68" t="inlineStr">
        <is>
          <t>FILTER</t>
        </is>
      </c>
      <c r="Q68" t="inlineStr"/>
      <c r="R68" t="inlineStr"/>
      <c r="S68" t="inlineStr"/>
    </row>
    <row r="69">
      <c r="A69" t="inlineStr">
        <is>
          <t>Task</t>
        </is>
      </c>
      <c r="B69" s="28" t="inlineStr">
        <is>
          <t>FILTER-10740</t>
        </is>
      </c>
      <c r="C69" s="20" t="inlineStr">
        <is>
          <t>[sprox] C++ securly init connection function calling</t>
        </is>
      </c>
      <c r="D69" t="inlineStr">
        <is>
          <t>FILTER-8230</t>
        </is>
      </c>
      <c r="E69" t="inlineStr">
        <is>
          <t>Epic</t>
        </is>
      </c>
      <c r="F69" t="inlineStr">
        <is>
          <t>Ravi Raj</t>
        </is>
      </c>
      <c r="G69" t="inlineStr">
        <is>
          <t>Closed</t>
        </is>
      </c>
      <c r="H69" t="inlineStr"/>
      <c r="I69" t="inlineStr">
        <is>
          <t>P2</t>
        </is>
      </c>
      <c r="J69" s="29" t="n">
        <v>45971</v>
      </c>
      <c r="L69" s="29" t="n">
        <v>46054</v>
      </c>
      <c r="M69" t="inlineStr">
        <is>
          <t>sprint-Arthur</t>
        </is>
      </c>
      <c r="N69" s="11" t="n">
        <v>16</v>
      </c>
      <c r="O69" s="11" t="n">
        <v>0</v>
      </c>
      <c r="P69" t="inlineStr">
        <is>
          <t>FILTER</t>
        </is>
      </c>
      <c r="Q69" t="inlineStr">
        <is>
          <t>unplanned-sprint</t>
        </is>
      </c>
      <c r="R69" t="inlineStr"/>
      <c r="S69" t="inlineStr"/>
    </row>
    <row r="70">
      <c r="A70" t="inlineStr">
        <is>
          <t>Dev</t>
        </is>
      </c>
      <c r="B70" s="28" t="inlineStr">
        <is>
          <t>FILTER-11352</t>
        </is>
      </c>
      <c r="C70" s="20" t="inlineStr">
        <is>
          <t>[sprox] C++ securly init connection function calling</t>
        </is>
      </c>
      <c r="D70" t="inlineStr">
        <is>
          <t>FILTER-10740</t>
        </is>
      </c>
      <c r="E70" t="inlineStr">
        <is>
          <t>Task</t>
        </is>
      </c>
      <c r="F70" t="inlineStr">
        <is>
          <t>Ravi Raj</t>
        </is>
      </c>
      <c r="G70" t="inlineStr">
        <is>
          <t>Done</t>
        </is>
      </c>
      <c r="H70" t="inlineStr"/>
      <c r="I70" t="inlineStr">
        <is>
          <t>P3</t>
        </is>
      </c>
      <c r="J70" s="29" t="n">
        <v>45999</v>
      </c>
      <c r="L70" s="29" t="n">
        <v>46037</v>
      </c>
      <c r="M70" t="inlineStr">
        <is>
          <t>sprint-Arthur</t>
        </is>
      </c>
      <c r="N70" s="11" t="n">
        <v>16</v>
      </c>
      <c r="O70" s="11" t="n">
        <v>10</v>
      </c>
      <c r="P70" t="inlineStr">
        <is>
          <t>FILTER</t>
        </is>
      </c>
      <c r="Q70" t="inlineStr"/>
      <c r="R70" t="inlineStr"/>
      <c r="S70" t="inlineStr"/>
    </row>
    <row r="71">
      <c r="A71" t="inlineStr">
        <is>
          <t>Task</t>
        </is>
      </c>
      <c r="B71" s="28" t="inlineStr">
        <is>
          <t>FILTER-11458</t>
        </is>
      </c>
      <c r="C71" s="20" t="inlineStr">
        <is>
          <t>[sprox] Function translation to sprox - Part 2</t>
        </is>
      </c>
      <c r="D71" t="inlineStr">
        <is>
          <t>FILTER-8230</t>
        </is>
      </c>
      <c r="E71" t="inlineStr">
        <is>
          <t>Epic</t>
        </is>
      </c>
      <c r="F71" t="inlineStr">
        <is>
          <t>Ravi Raj</t>
        </is>
      </c>
      <c r="G71" t="inlineStr">
        <is>
          <t>Closed</t>
        </is>
      </c>
      <c r="H71" t="inlineStr"/>
      <c r="I71" t="inlineStr">
        <is>
          <t>P3</t>
        </is>
      </c>
      <c r="J71" s="29" t="n">
        <v>46008</v>
      </c>
      <c r="L71" s="29" t="n">
        <v>46054</v>
      </c>
      <c r="M71" t="inlineStr">
        <is>
          <t>sprint-Arthur</t>
        </is>
      </c>
      <c r="N71" s="11" t="n">
        <v>16</v>
      </c>
      <c r="O71" s="11" t="n">
        <v>8</v>
      </c>
      <c r="P71" t="inlineStr">
        <is>
          <t>FILTER</t>
        </is>
      </c>
      <c r="Q71" t="inlineStr">
        <is>
          <t>unplanned-sprint</t>
        </is>
      </c>
      <c r="R71" t="inlineStr"/>
      <c r="S71" t="inlineStr"/>
    </row>
    <row r="72">
      <c r="A72" t="inlineStr">
        <is>
          <t>Dev</t>
        </is>
      </c>
      <c r="B72" s="28" t="inlineStr">
        <is>
          <t>FILTER-11516</t>
        </is>
      </c>
      <c r="C72" s="20" t="inlineStr">
        <is>
          <t>[sprox] Function translation to sprox - Part 2</t>
        </is>
      </c>
      <c r="D72" t="inlineStr">
        <is>
          <t>FILTER-11458</t>
        </is>
      </c>
      <c r="E72" t="inlineStr">
        <is>
          <t>Task</t>
        </is>
      </c>
      <c r="F72" t="inlineStr">
        <is>
          <t>Ravi Raj</t>
        </is>
      </c>
      <c r="G72" t="inlineStr">
        <is>
          <t>Done</t>
        </is>
      </c>
      <c r="H72" t="inlineStr"/>
      <c r="I72" t="inlineStr">
        <is>
          <t>P3</t>
        </is>
      </c>
      <c r="J72" s="29" t="n">
        <v>46010</v>
      </c>
      <c r="L72" s="29" t="n">
        <v>46041</v>
      </c>
      <c r="M72" t="inlineStr">
        <is>
          <t>sprint-Arthur</t>
        </is>
      </c>
      <c r="N72" s="11" t="n">
        <v>16</v>
      </c>
      <c r="O72" s="11" t="n">
        <v>16</v>
      </c>
      <c r="P72" t="inlineStr">
        <is>
          <t>FILTER</t>
        </is>
      </c>
      <c r="Q72" t="inlineStr"/>
      <c r="R72" t="inlineStr"/>
      <c r="S72" t="inlineStr"/>
    </row>
    <row r="73">
      <c r="A73" t="inlineStr">
        <is>
          <t>Dev</t>
        </is>
      </c>
      <c r="B73" s="28" t="inlineStr">
        <is>
          <t>FILTER-11702</t>
        </is>
      </c>
      <c r="C73" s="20" t="inlineStr">
        <is>
          <t>Redis connection for wrapper &amp; redis config separation</t>
        </is>
      </c>
      <c r="D73" t="inlineStr">
        <is>
          <t>FILTER-11701</t>
        </is>
      </c>
      <c r="E73" t="inlineStr">
        <is>
          <t>Task</t>
        </is>
      </c>
      <c r="F73" t="inlineStr">
        <is>
          <t>Ravi Raj</t>
        </is>
      </c>
      <c r="G73" t="inlineStr">
        <is>
          <t>Done</t>
        </is>
      </c>
      <c r="H73" t="inlineStr"/>
      <c r="I73" t="inlineStr">
        <is>
          <t>P3</t>
        </is>
      </c>
      <c r="J73" s="29" t="n">
        <v>46041</v>
      </c>
      <c r="L73" s="29" t="n">
        <v>46041</v>
      </c>
      <c r="M73" t="inlineStr">
        <is>
          <t>sprint-Arthur</t>
        </is>
      </c>
      <c r="N73" s="11" t="n">
        <v>8</v>
      </c>
      <c r="O73" s="11" t="n">
        <v>8</v>
      </c>
      <c r="P73" t="inlineStr">
        <is>
          <t>FILTER</t>
        </is>
      </c>
      <c r="Q73" t="inlineStr"/>
      <c r="R73" t="inlineStr"/>
      <c r="S73" t="inlineStr"/>
    </row>
    <row r="74">
      <c r="A74" t="inlineStr">
        <is>
          <t>Dev</t>
        </is>
      </c>
      <c r="B74" s="28" t="inlineStr">
        <is>
          <t>FILTER-11491</t>
        </is>
      </c>
      <c r="C74" s="20" t="inlineStr">
        <is>
          <t>Fix Policy Request Email Template to Include Applied OU and Security Group Criteria</t>
        </is>
      </c>
      <c r="D74" t="inlineStr">
        <is>
          <t>FILTER-3211</t>
        </is>
      </c>
      <c r="E74" t="inlineStr">
        <is>
          <t>Bug (OLD - use Defect instead)</t>
        </is>
      </c>
      <c r="F74" t="inlineStr">
        <is>
          <t>Sagar Satpute</t>
        </is>
      </c>
      <c r="G74" t="inlineStr">
        <is>
          <t>Done</t>
        </is>
      </c>
      <c r="H74" t="inlineStr"/>
      <c r="I74" t="inlineStr">
        <is>
          <t>P1</t>
        </is>
      </c>
      <c r="J74" s="29" t="n">
        <v>46010</v>
      </c>
      <c r="L74" s="29" t="n">
        <v>46062</v>
      </c>
      <c r="M74" t="inlineStr">
        <is>
          <t>sprint-Arthur</t>
        </is>
      </c>
      <c r="N74" s="11" t="n">
        <v>10</v>
      </c>
      <c r="O74" s="11" t="n">
        <v>13</v>
      </c>
      <c r="P74" t="inlineStr">
        <is>
          <t>FILTER</t>
        </is>
      </c>
      <c r="Q74" t="inlineStr"/>
      <c r="R74" t="inlineStr"/>
      <c r="S74" t="inlineStr"/>
    </row>
    <row r="75">
      <c r="A75" t="inlineStr">
        <is>
          <t>Dev</t>
        </is>
      </c>
      <c r="B75" s="28" t="inlineStr">
        <is>
          <t>FILTER-11512</t>
        </is>
      </c>
      <c r="C75" s="20" t="inlineStr">
        <is>
          <t>Fix Automatic Admin Group Creation Failure Following Premium Feature Enablement</t>
        </is>
      </c>
      <c r="D75" t="inlineStr">
        <is>
          <t>FILTER-8475</t>
        </is>
      </c>
      <c r="E75" t="inlineStr">
        <is>
          <t>Defect</t>
        </is>
      </c>
      <c r="F75" t="inlineStr">
        <is>
          <t>Sagar Satpute</t>
        </is>
      </c>
      <c r="G75" t="inlineStr">
        <is>
          <t>Done</t>
        </is>
      </c>
      <c r="H75" t="inlineStr"/>
      <c r="I75" t="inlineStr">
        <is>
          <t>P1</t>
        </is>
      </c>
      <c r="J75" s="29" t="n">
        <v>46010</v>
      </c>
      <c r="L75" s="29" t="n">
        <v>46034</v>
      </c>
      <c r="M75" t="inlineStr">
        <is>
          <t>sprint-Arthur</t>
        </is>
      </c>
      <c r="N75" s="11" t="n">
        <v>8</v>
      </c>
      <c r="O75" s="11" t="n">
        <v>8</v>
      </c>
      <c r="P75" t="inlineStr">
        <is>
          <t>FILTER</t>
        </is>
      </c>
      <c r="Q75" t="inlineStr"/>
      <c r="R75" t="inlineStr"/>
      <c r="S75" t="inlineStr"/>
    </row>
    <row r="76">
      <c r="A76" t="inlineStr">
        <is>
          <t>Dev</t>
        </is>
      </c>
      <c r="B76" s="28" t="inlineStr">
        <is>
          <t>FILTER-11546</t>
        </is>
      </c>
      <c r="C76" s="20" t="inlineStr">
        <is>
          <t>Reopened -Dev Task - Custom Groups require duration to be created | securly@knochsd.org</t>
        </is>
      </c>
      <c r="D76" t="inlineStr">
        <is>
          <t>FILTER-9069</t>
        </is>
      </c>
      <c r="E76" t="inlineStr">
        <is>
          <t>Escape Defect</t>
        </is>
      </c>
      <c r="F76" t="inlineStr">
        <is>
          <t>Sagar Satpute</t>
        </is>
      </c>
      <c r="G76" t="inlineStr">
        <is>
          <t>Closed without action</t>
        </is>
      </c>
      <c r="H76" t="inlineStr"/>
      <c r="I76" t="inlineStr">
        <is>
          <t>P3</t>
        </is>
      </c>
      <c r="J76" s="29" t="n">
        <v>46012</v>
      </c>
      <c r="L76" s="29" t="n">
        <v>46036</v>
      </c>
      <c r="M76" t="inlineStr">
        <is>
          <t>sprint-Arthur</t>
        </is>
      </c>
      <c r="N76" s="11" t="n">
        <v>0</v>
      </c>
      <c r="O76" s="11" t="n">
        <v>5</v>
      </c>
      <c r="P76" t="inlineStr">
        <is>
          <t>FILTER</t>
        </is>
      </c>
      <c r="Q76" t="inlineStr"/>
      <c r="R76" t="inlineStr"/>
      <c r="S76" t="inlineStr"/>
    </row>
    <row r="77">
      <c r="A77" t="inlineStr">
        <is>
          <t>Task</t>
        </is>
      </c>
      <c r="B77" s="28" t="inlineStr">
        <is>
          <t>FDSE-115</t>
        </is>
      </c>
      <c r="C77" s="20" t="inlineStr">
        <is>
          <t>New changes in Checkbox as per the updated design</t>
        </is>
      </c>
      <c r="D77" t="inlineStr">
        <is>
          <t>FDSE-54</t>
        </is>
      </c>
      <c r="E77" t="inlineStr">
        <is>
          <t>Epic</t>
        </is>
      </c>
      <c r="F77" t="inlineStr">
        <is>
          <t>Shailendra Singh</t>
        </is>
      </c>
      <c r="G77" t="inlineStr">
        <is>
          <t>Closed</t>
        </is>
      </c>
      <c r="H77" t="inlineStr"/>
      <c r="I77" t="inlineStr">
        <is>
          <t>P3</t>
        </is>
      </c>
      <c r="J77" s="29" t="n">
        <v>45981</v>
      </c>
      <c r="L77" s="29" t="n">
        <v>46054</v>
      </c>
      <c r="M77" t="inlineStr">
        <is>
          <t>sprint-Arthur</t>
        </is>
      </c>
      <c r="N77" s="11" t="n">
        <v>8</v>
      </c>
      <c r="O77" s="11" t="n">
        <v>16</v>
      </c>
      <c r="P77" t="inlineStr">
        <is>
          <t>FDSE</t>
        </is>
      </c>
      <c r="Q77" t="inlineStr">
        <is>
          <t>product-filter</t>
        </is>
      </c>
      <c r="R77" t="inlineStr"/>
      <c r="S77" t="inlineStr"/>
    </row>
    <row r="78">
      <c r="A78" t="inlineStr">
        <is>
          <t>Task</t>
        </is>
      </c>
      <c r="B78" s="28" t="inlineStr">
        <is>
          <t>FDSE-121</t>
        </is>
      </c>
      <c r="C78" s="20" t="inlineStr">
        <is>
          <t>Implementation of Info component</t>
        </is>
      </c>
      <c r="D78" t="inlineStr">
        <is>
          <t>FDSE-120</t>
        </is>
      </c>
      <c r="E78" t="inlineStr">
        <is>
          <t>Epic</t>
        </is>
      </c>
      <c r="F78" t="inlineStr">
        <is>
          <t>Shailendra Singh</t>
        </is>
      </c>
      <c r="G78" t="inlineStr">
        <is>
          <t>Closed</t>
        </is>
      </c>
      <c r="H78" t="inlineStr">
        <is>
          <t>Fixed</t>
        </is>
      </c>
      <c r="I78" t="inlineStr">
        <is>
          <t>P3</t>
        </is>
      </c>
      <c r="J78" s="29" t="n">
        <v>45995</v>
      </c>
      <c r="K78" s="29" t="n">
        <v>46032</v>
      </c>
      <c r="L78" s="29" t="n">
        <v>46054</v>
      </c>
      <c r="M78" t="inlineStr">
        <is>
          <t>sprint-Arthur</t>
        </is>
      </c>
      <c r="N78" s="11" t="n">
        <v>24</v>
      </c>
      <c r="O78" s="11" t="n">
        <v>16</v>
      </c>
      <c r="P78" t="inlineStr">
        <is>
          <t>FDSE</t>
        </is>
      </c>
      <c r="Q78" t="inlineStr">
        <is>
          <t>product-filter</t>
        </is>
      </c>
      <c r="R78" t="inlineStr"/>
      <c r="S78" t="inlineStr"/>
    </row>
    <row r="79">
      <c r="A79" t="inlineStr">
        <is>
          <t>Dev</t>
        </is>
      </c>
      <c r="B79" s="28" t="inlineStr">
        <is>
          <t>FILTER-11019</t>
        </is>
      </c>
      <c r="C79" s="20" t="inlineStr">
        <is>
          <t>Fix Filter/TAS Failure to Log Both Blocked and Flagged Records</t>
        </is>
      </c>
      <c r="D79" t="inlineStr">
        <is>
          <t>FILTER-10116</t>
        </is>
      </c>
      <c r="E79" t="inlineStr">
        <is>
          <t>Defect</t>
        </is>
      </c>
      <c r="F79" t="inlineStr">
        <is>
          <t>Shailendra Singh</t>
        </is>
      </c>
      <c r="G79" t="inlineStr">
        <is>
          <t>Closed without action</t>
        </is>
      </c>
      <c r="H79" t="inlineStr"/>
      <c r="I79" t="inlineStr">
        <is>
          <t>P3</t>
        </is>
      </c>
      <c r="J79" s="29" t="n">
        <v>45986</v>
      </c>
      <c r="L79" s="29" t="n">
        <v>46036</v>
      </c>
      <c r="M79" t="inlineStr">
        <is>
          <t>sprint-Arthur</t>
        </is>
      </c>
      <c r="N79" s="11" t="n">
        <v>0</v>
      </c>
      <c r="O79" s="11" t="n">
        <v>4</v>
      </c>
      <c r="P79" t="inlineStr">
        <is>
          <t>FILTER</t>
        </is>
      </c>
      <c r="Q79" t="inlineStr"/>
      <c r="R79" t="inlineStr"/>
      <c r="S79" t="inlineStr"/>
    </row>
    <row r="80">
      <c r="A80" t="inlineStr">
        <is>
          <t>Dev</t>
        </is>
      </c>
      <c r="B80" s="28" t="inlineStr">
        <is>
          <t>FILTER-11025</t>
        </is>
      </c>
      <c r="C80" s="20" t="inlineStr">
        <is>
          <t>Fix Flagged Activity Status Mismatch and Missing Icon in Double Logging Cases</t>
        </is>
      </c>
      <c r="D80" t="inlineStr">
        <is>
          <t>FILTER-7172</t>
        </is>
      </c>
      <c r="E80" t="inlineStr">
        <is>
          <t>Bug (OLD - use Defect instead)</t>
        </is>
      </c>
      <c r="F80" t="inlineStr">
        <is>
          <t>Shailendra Singh</t>
        </is>
      </c>
      <c r="G80" t="inlineStr">
        <is>
          <t>Closed without action</t>
        </is>
      </c>
      <c r="H80" t="inlineStr"/>
      <c r="I80" t="inlineStr">
        <is>
          <t>P2</t>
        </is>
      </c>
      <c r="J80" s="29" t="n">
        <v>45986</v>
      </c>
      <c r="L80" s="29" t="n">
        <v>46036</v>
      </c>
      <c r="M80" t="inlineStr">
        <is>
          <t>sprint-Arthur</t>
        </is>
      </c>
      <c r="N80" s="11" t="n">
        <v>0</v>
      </c>
      <c r="O80" s="11" t="n">
        <v>6</v>
      </c>
      <c r="P80" t="inlineStr">
        <is>
          <t>FILTER</t>
        </is>
      </c>
      <c r="Q80" t="inlineStr"/>
      <c r="R80" t="inlineStr"/>
      <c r="S80" t="inlineStr"/>
    </row>
    <row r="81">
      <c r="A81" t="inlineStr">
        <is>
          <t>Dev</t>
        </is>
      </c>
      <c r="B81" s="28" t="inlineStr">
        <is>
          <t>FILTER-11527</t>
        </is>
      </c>
      <c r="C81" s="20" t="inlineStr">
        <is>
          <t>Fix Audit Log Row Rearrangement when Pressing Enter in Search Field</t>
        </is>
      </c>
      <c r="D81" t="inlineStr">
        <is>
          <t>FILTER-10247</t>
        </is>
      </c>
      <c r="E81" t="inlineStr">
        <is>
          <t>Defect</t>
        </is>
      </c>
      <c r="F81" t="inlineStr">
        <is>
          <t>Shailendra Singh</t>
        </is>
      </c>
      <c r="G81" t="inlineStr">
        <is>
          <t>Done</t>
        </is>
      </c>
      <c r="H81" t="inlineStr"/>
      <c r="I81" t="inlineStr">
        <is>
          <t>P3</t>
        </is>
      </c>
      <c r="J81" s="29" t="n">
        <v>46010</v>
      </c>
      <c r="L81" s="29" t="n">
        <v>46034</v>
      </c>
      <c r="M81" t="inlineStr">
        <is>
          <t>sprint-Arthur</t>
        </is>
      </c>
      <c r="N81" s="11" t="n">
        <v>6</v>
      </c>
      <c r="O81" s="11" t="n">
        <v>6</v>
      </c>
      <c r="P81" t="inlineStr">
        <is>
          <t>FILTER</t>
        </is>
      </c>
      <c r="Q81" t="inlineStr"/>
      <c r="R81" t="inlineStr"/>
      <c r="S81" t="inlineStr"/>
    </row>
    <row r="82">
      <c r="A82" t="inlineStr">
        <is>
          <t>Dev</t>
        </is>
      </c>
      <c r="B82" s="28" t="inlineStr">
        <is>
          <t>FILTER-11552</t>
        </is>
      </c>
      <c r="C82" s="20" t="inlineStr">
        <is>
          <t>Custom groups creation issue</t>
        </is>
      </c>
      <c r="D82" t="inlineStr">
        <is>
          <t>FILTER-9128</t>
        </is>
      </c>
      <c r="E82" t="inlineStr">
        <is>
          <t>Escape Defect</t>
        </is>
      </c>
      <c r="F82" t="inlineStr">
        <is>
          <t>Shailendra Singh</t>
        </is>
      </c>
      <c r="G82" t="inlineStr">
        <is>
          <t>Done</t>
        </is>
      </c>
      <c r="H82" t="inlineStr"/>
      <c r="I82" t="inlineStr">
        <is>
          <t>P3</t>
        </is>
      </c>
      <c r="J82" s="29" t="n">
        <v>46013</v>
      </c>
      <c r="L82" s="29" t="n">
        <v>46036</v>
      </c>
      <c r="M82" t="inlineStr">
        <is>
          <t>sprint-Arthur</t>
        </is>
      </c>
      <c r="N82" s="11" t="n">
        <v>0</v>
      </c>
      <c r="O82" s="11" t="n">
        <v>0</v>
      </c>
      <c r="P82" t="inlineStr">
        <is>
          <t>FILTER</t>
        </is>
      </c>
      <c r="Q82" t="inlineStr"/>
      <c r="R82" t="inlineStr"/>
      <c r="S82" t="inlineStr"/>
    </row>
    <row r="83">
      <c r="A83" t="inlineStr">
        <is>
          <t>Escape Defect</t>
        </is>
      </c>
      <c r="B83" s="28" t="inlineStr">
        <is>
          <t>FILTER-9128</t>
        </is>
      </c>
      <c r="C83" s="20" t="inlineStr">
        <is>
          <t>Custom Group creation is not working</t>
        </is>
      </c>
      <c r="D83" t="inlineStr"/>
      <c r="E83" t="inlineStr"/>
      <c r="F83" t="inlineStr">
        <is>
          <t>Shailendra Singh</t>
        </is>
      </c>
      <c r="G83" t="inlineStr">
        <is>
          <t>Done</t>
        </is>
      </c>
      <c r="H83" t="inlineStr">
        <is>
          <t>Fixed</t>
        </is>
      </c>
      <c r="I83" t="inlineStr">
        <is>
          <t>P3</t>
        </is>
      </c>
      <c r="J83" s="29" t="n">
        <v>45848</v>
      </c>
      <c r="K83" s="29" t="n">
        <v>46029</v>
      </c>
      <c r="L83" s="29" t="n">
        <v>46099</v>
      </c>
      <c r="M83" t="inlineStr">
        <is>
          <t>sprint-Arthur</t>
        </is>
      </c>
      <c r="N83" s="11" t="n">
        <v>12</v>
      </c>
      <c r="O83" s="11" t="n">
        <v>8</v>
      </c>
      <c r="P83" t="inlineStr">
        <is>
          <t>FILTER</t>
        </is>
      </c>
      <c r="Q83" t="inlineStr">
        <is>
          <t>jira_added, jira_backlog, jira_done, jira_escalated, jira_p3, jira_qa_verified, zendesk_enterprise</t>
        </is>
      </c>
      <c r="R83" t="inlineStr"/>
      <c r="S83" t="inlineStr"/>
    </row>
    <row r="84">
      <c r="A84" t="inlineStr">
        <is>
          <t>QA</t>
        </is>
      </c>
      <c r="B84" s="28" t="inlineStr">
        <is>
          <t>FILTER-11015</t>
        </is>
      </c>
      <c r="C84" s="20" t="inlineStr">
        <is>
          <t>pkg-35 Regression Testing</t>
        </is>
      </c>
      <c r="D84" t="inlineStr">
        <is>
          <t>FILTER-11013</t>
        </is>
      </c>
      <c r="E84" t="inlineStr">
        <is>
          <t>Task</t>
        </is>
      </c>
      <c r="F84" t="inlineStr">
        <is>
          <t>Surabhi Choudhary</t>
        </is>
      </c>
      <c r="G84" t="inlineStr">
        <is>
          <t>Closed without action</t>
        </is>
      </c>
      <c r="H84" t="inlineStr"/>
      <c r="I84" t="inlineStr">
        <is>
          <t>P3</t>
        </is>
      </c>
      <c r="J84" s="29" t="n">
        <v>45986</v>
      </c>
      <c r="L84" s="29" t="n">
        <v>46029</v>
      </c>
      <c r="M84" t="inlineStr">
        <is>
          <t>sprint-Arthur</t>
        </is>
      </c>
      <c r="N84" s="11" t="n">
        <v>0</v>
      </c>
      <c r="O84" s="11" t="n">
        <v>0</v>
      </c>
      <c r="P84" t="inlineStr">
        <is>
          <t>FILTER</t>
        </is>
      </c>
      <c r="Q84" t="inlineStr"/>
      <c r="R84" t="inlineStr"/>
      <c r="S84" t="inlineStr"/>
    </row>
    <row r="85">
      <c r="A85" t="inlineStr">
        <is>
          <t>QA</t>
        </is>
      </c>
      <c r="B85" s="28" t="inlineStr">
        <is>
          <t>FILTER-11343</t>
        </is>
      </c>
      <c r="C85" s="20" t="inlineStr">
        <is>
          <t>Manual QA Validation for Invalid SourceIP Logging in PHP Broker</t>
        </is>
      </c>
      <c r="D85" t="inlineStr">
        <is>
          <t>FILTER-11340</t>
        </is>
      </c>
      <c r="E85" t="inlineStr">
        <is>
          <t>Escape Defect</t>
        </is>
      </c>
      <c r="F85" t="inlineStr">
        <is>
          <t>Surabhi Choudhary</t>
        </is>
      </c>
      <c r="G85" t="inlineStr">
        <is>
          <t>Done</t>
        </is>
      </c>
      <c r="H85" t="inlineStr"/>
      <c r="I85" t="inlineStr">
        <is>
          <t>P3</t>
        </is>
      </c>
      <c r="J85" s="29" t="n">
        <v>45999</v>
      </c>
      <c r="L85" s="29" t="n">
        <v>46031</v>
      </c>
      <c r="M85" t="inlineStr">
        <is>
          <t>sprint-Arthur</t>
        </is>
      </c>
      <c r="N85" s="11" t="n">
        <v>3</v>
      </c>
      <c r="O85" s="11" t="n">
        <v>3</v>
      </c>
      <c r="P85" t="inlineStr">
        <is>
          <t>FILTER</t>
        </is>
      </c>
      <c r="Q85" t="inlineStr"/>
      <c r="R85" t="inlineStr"/>
      <c r="S85" t="inlineStr"/>
    </row>
    <row r="86">
      <c r="A86" t="inlineStr">
        <is>
          <t>QA</t>
        </is>
      </c>
      <c r="B86" s="28" t="inlineStr">
        <is>
          <t>FILTER-11350</t>
        </is>
      </c>
      <c r="C86" s="20" t="inlineStr">
        <is>
          <t>Manual QA Validation for CRXTN Tab Rebrokering Post-Idle on Windows/macOS/Linux</t>
        </is>
      </c>
      <c r="D86" t="inlineStr">
        <is>
          <t>FILTER-11347</t>
        </is>
      </c>
      <c r="E86" t="inlineStr">
        <is>
          <t>Task</t>
        </is>
      </c>
      <c r="F86" t="inlineStr">
        <is>
          <t>Surabhi Choudhary</t>
        </is>
      </c>
      <c r="G86" t="inlineStr">
        <is>
          <t>Done</t>
        </is>
      </c>
      <c r="H86" t="inlineStr"/>
      <c r="I86" t="inlineStr">
        <is>
          <t>P3</t>
        </is>
      </c>
      <c r="J86" s="29" t="n">
        <v>45999</v>
      </c>
      <c r="L86" s="29" t="n">
        <v>46031</v>
      </c>
      <c r="M86" t="inlineStr">
        <is>
          <t>sprint-Arthur</t>
        </is>
      </c>
      <c r="N86" s="11" t="n">
        <v>8</v>
      </c>
      <c r="O86" s="11" t="n">
        <v>0</v>
      </c>
      <c r="P86" t="inlineStr">
        <is>
          <t>FILTER</t>
        </is>
      </c>
      <c r="Q86" t="inlineStr"/>
      <c r="R86" t="inlineStr"/>
      <c r="S86" t="inlineStr"/>
    </row>
    <row r="87">
      <c r="A87" t="inlineStr">
        <is>
          <t>QA</t>
        </is>
      </c>
      <c r="B87" s="28" t="inlineStr">
        <is>
          <t>FILTER-11495</t>
        </is>
      </c>
      <c r="C87" s="20" t="inlineStr">
        <is>
          <t>Manual QA Validation: Policy Priority Email Notifications (OU &amp; Security Groups)</t>
        </is>
      </c>
      <c r="D87" t="inlineStr">
        <is>
          <t>FILTER-3211</t>
        </is>
      </c>
      <c r="E87" t="inlineStr">
        <is>
          <t>Bug (OLD - use Defect instead)</t>
        </is>
      </c>
      <c r="F87" t="inlineStr">
        <is>
          <t>Surabhi Choudhary</t>
        </is>
      </c>
      <c r="G87" t="inlineStr">
        <is>
          <t>Done</t>
        </is>
      </c>
      <c r="H87" t="inlineStr"/>
      <c r="I87" t="inlineStr">
        <is>
          <t>P1</t>
        </is>
      </c>
      <c r="J87" s="29" t="n">
        <v>46010</v>
      </c>
      <c r="L87" s="29" t="n">
        <v>46038</v>
      </c>
      <c r="M87" t="inlineStr">
        <is>
          <t>sprint-Arthur</t>
        </is>
      </c>
      <c r="N87" s="11" t="n">
        <v>5</v>
      </c>
      <c r="O87" s="11" t="n">
        <v>4</v>
      </c>
      <c r="P87" t="inlineStr">
        <is>
          <t>FILTER</t>
        </is>
      </c>
      <c r="Q87" t="inlineStr"/>
      <c r="R87" t="inlineStr"/>
      <c r="S87" t="inlineStr"/>
    </row>
    <row r="88">
      <c r="A88" t="inlineStr">
        <is>
          <t>QA</t>
        </is>
      </c>
      <c r="B88" s="28" t="inlineStr">
        <is>
          <t>FILTER-11498</t>
        </is>
      </c>
      <c r="C88" s="20" t="inlineStr">
        <is>
          <t>Manual QA Validation: Google Maps Menu Interaction on UK Cluster</t>
        </is>
      </c>
      <c r="D88" t="inlineStr">
        <is>
          <t>FILTER-1621</t>
        </is>
      </c>
      <c r="E88" t="inlineStr">
        <is>
          <t>Bug (OLD - use Defect instead)</t>
        </is>
      </c>
      <c r="F88" t="inlineStr">
        <is>
          <t>Surabhi Choudhary</t>
        </is>
      </c>
      <c r="G88" t="inlineStr">
        <is>
          <t>Closed without action</t>
        </is>
      </c>
      <c r="H88" t="inlineStr"/>
      <c r="I88" t="inlineStr">
        <is>
          <t>P1</t>
        </is>
      </c>
      <c r="J88" s="29" t="n">
        <v>46010</v>
      </c>
      <c r="L88" s="29" t="n">
        <v>46033</v>
      </c>
      <c r="M88" t="inlineStr">
        <is>
          <t>sprint-Arthur</t>
        </is>
      </c>
      <c r="N88" s="11" t="n">
        <v>0.5</v>
      </c>
      <c r="O88" s="11" t="n">
        <v>4</v>
      </c>
      <c r="P88" t="inlineStr">
        <is>
          <t>FILTER</t>
        </is>
      </c>
      <c r="Q88" t="inlineStr"/>
      <c r="R88" t="inlineStr"/>
      <c r="S88" t="inlineStr"/>
    </row>
    <row r="89">
      <c r="A89" t="inlineStr">
        <is>
          <t>QA</t>
        </is>
      </c>
      <c r="B89" s="28" t="inlineStr">
        <is>
          <t>FILTER-11514</t>
        </is>
      </c>
      <c r="C89" s="20" t="inlineStr">
        <is>
          <t>Manual QA Validation: Admin Group Creation and Toggle Logic for Premium Accounts</t>
        </is>
      </c>
      <c r="D89" t="inlineStr">
        <is>
          <t>FILTER-8475</t>
        </is>
      </c>
      <c r="E89" t="inlineStr">
        <is>
          <t>Defect</t>
        </is>
      </c>
      <c r="F89" t="inlineStr">
        <is>
          <t>Surabhi Choudhary</t>
        </is>
      </c>
      <c r="G89" t="inlineStr">
        <is>
          <t>Done</t>
        </is>
      </c>
      <c r="H89" t="inlineStr"/>
      <c r="I89" t="inlineStr">
        <is>
          <t>P1</t>
        </is>
      </c>
      <c r="J89" s="29" t="n">
        <v>46010</v>
      </c>
      <c r="L89" s="29" t="n">
        <v>46036</v>
      </c>
      <c r="M89" t="inlineStr">
        <is>
          <t>sprint-Arthur</t>
        </is>
      </c>
      <c r="N89" s="11" t="n">
        <v>5</v>
      </c>
      <c r="O89" s="11" t="n">
        <v>5</v>
      </c>
      <c r="P89" t="inlineStr">
        <is>
          <t>FILTER</t>
        </is>
      </c>
      <c r="Q89" t="inlineStr"/>
      <c r="R89" t="inlineStr"/>
      <c r="S89" t="inlineStr"/>
    </row>
    <row r="90">
      <c r="A90" t="inlineStr">
        <is>
          <t>QA</t>
        </is>
      </c>
      <c r="B90" s="28" t="inlineStr">
        <is>
          <t>FILTER-11611</t>
        </is>
      </c>
      <c r="C90" s="20" t="inlineStr">
        <is>
          <t>Verify SPAC/DNS working with Automation suite. Regression testing.</t>
        </is>
      </c>
      <c r="D90" t="inlineStr">
        <is>
          <t>FILTER-11608</t>
        </is>
      </c>
      <c r="E90" t="inlineStr">
        <is>
          <t>Task</t>
        </is>
      </c>
      <c r="F90" t="inlineStr">
        <is>
          <t>Surabhi Choudhary</t>
        </is>
      </c>
      <c r="G90" t="inlineStr">
        <is>
          <t>Done</t>
        </is>
      </c>
      <c r="H90" t="inlineStr"/>
      <c r="I90" t="inlineStr">
        <is>
          <t>P1</t>
        </is>
      </c>
      <c r="J90" s="29" t="n">
        <v>46030</v>
      </c>
      <c r="L90" s="29" t="n">
        <v>46031</v>
      </c>
      <c r="M90" t="inlineStr">
        <is>
          <t>sprint-Arthur</t>
        </is>
      </c>
      <c r="N90" s="11" t="n">
        <v>6</v>
      </c>
      <c r="O90" s="11" t="n">
        <v>6</v>
      </c>
      <c r="P90" t="inlineStr">
        <is>
          <t>FILTER</t>
        </is>
      </c>
      <c r="Q90" t="inlineStr"/>
      <c r="R90" t="inlineStr"/>
      <c r="S90" t="inlineStr"/>
    </row>
    <row r="91">
      <c r="A91" t="inlineStr">
        <is>
          <t>Task</t>
        </is>
      </c>
      <c r="B91" s="28" t="inlineStr">
        <is>
          <t>FDSE-103</t>
        </is>
      </c>
      <c r="C91" s="20" t="inlineStr">
        <is>
          <t>Implement Datepicker Single Date and Date Range only</t>
        </is>
      </c>
      <c r="D91" t="inlineStr">
        <is>
          <t>FDSE-102</t>
        </is>
      </c>
      <c r="E91" t="inlineStr">
        <is>
          <t>Epic</t>
        </is>
      </c>
      <c r="F91" t="inlineStr">
        <is>
          <t>Swaroop Chavhan</t>
        </is>
      </c>
      <c r="G91" t="inlineStr">
        <is>
          <t>Closed</t>
        </is>
      </c>
      <c r="H91" t="inlineStr"/>
      <c r="I91" t="inlineStr">
        <is>
          <t>P3</t>
        </is>
      </c>
      <c r="J91" s="29" t="n">
        <v>45981</v>
      </c>
      <c r="L91" s="29" t="n">
        <v>46054</v>
      </c>
      <c r="M91" t="inlineStr">
        <is>
          <t>sprint-Arthur</t>
        </is>
      </c>
      <c r="N91" s="11" t="n">
        <v>0</v>
      </c>
      <c r="O91" s="11" t="n">
        <v>32</v>
      </c>
      <c r="P91" t="inlineStr">
        <is>
          <t>FDSE</t>
        </is>
      </c>
      <c r="Q91" t="inlineStr">
        <is>
          <t>product-filter</t>
        </is>
      </c>
      <c r="R91" t="inlineStr"/>
      <c r="S91" t="inlineStr"/>
    </row>
    <row r="92">
      <c r="A92" t="inlineStr">
        <is>
          <t>Dev</t>
        </is>
      </c>
      <c r="B92" s="28" t="inlineStr">
        <is>
          <t>FILTER-11248</t>
        </is>
      </c>
      <c r="C92" s="20" t="inlineStr">
        <is>
          <t>Fix Activities UI Overflow on Ultrawide Monitors &amp; Persist Column Resizing</t>
        </is>
      </c>
      <c r="D92" t="inlineStr">
        <is>
          <t>FILTER-6563</t>
        </is>
      </c>
      <c r="E92" t="inlineStr">
        <is>
          <t>Escape Defect</t>
        </is>
      </c>
      <c r="F92" t="inlineStr">
        <is>
          <t>Swaroop Chavhan</t>
        </is>
      </c>
      <c r="G92" t="inlineStr">
        <is>
          <t>Done</t>
        </is>
      </c>
      <c r="H92" t="inlineStr"/>
      <c r="I92" t="inlineStr">
        <is>
          <t>P3</t>
        </is>
      </c>
      <c r="J92" s="29" t="n">
        <v>45994</v>
      </c>
      <c r="L92" s="29" t="n">
        <v>46033</v>
      </c>
      <c r="M92" t="inlineStr">
        <is>
          <t>sprint-Arthur</t>
        </is>
      </c>
      <c r="N92" s="11" t="n">
        <v>0</v>
      </c>
      <c r="O92" s="11" t="n">
        <v>1</v>
      </c>
      <c r="P92" t="inlineStr">
        <is>
          <t>FILTER</t>
        </is>
      </c>
      <c r="Q92" t="inlineStr"/>
      <c r="R92" t="inlineStr"/>
      <c r="S92" t="inlineStr"/>
    </row>
    <row r="93">
      <c r="A93" t="inlineStr">
        <is>
          <t>Dev</t>
        </is>
      </c>
      <c r="B93" s="28" t="inlineStr">
        <is>
          <t>FILTER-11504</t>
        </is>
      </c>
      <c r="C93" s="20" t="inlineStr">
        <is>
          <t>Investigate and Restore UK Cluster Activity Logging (Data Stalled Since 30/11/2025)</t>
        </is>
      </c>
      <c r="D93" t="inlineStr">
        <is>
          <t>FILTER-11071</t>
        </is>
      </c>
      <c r="E93" t="inlineStr">
        <is>
          <t>Task</t>
        </is>
      </c>
      <c r="F93" t="inlineStr">
        <is>
          <t>Swaroop Chavhan</t>
        </is>
      </c>
      <c r="G93" t="inlineStr">
        <is>
          <t>Closed without action</t>
        </is>
      </c>
      <c r="H93" t="inlineStr"/>
      <c r="I93" t="inlineStr">
        <is>
          <t>P1</t>
        </is>
      </c>
      <c r="J93" s="29" t="n">
        <v>46010</v>
      </c>
      <c r="L93" s="29" t="n">
        <v>46034</v>
      </c>
      <c r="M93" t="inlineStr">
        <is>
          <t>sprint-Arthur</t>
        </is>
      </c>
      <c r="N93" s="11" t="n">
        <v>0</v>
      </c>
      <c r="O93" s="11" t="n">
        <v>2</v>
      </c>
      <c r="P93" t="inlineStr">
        <is>
          <t>FILTER</t>
        </is>
      </c>
      <c r="Q93" t="inlineStr"/>
      <c r="R93" t="inlineStr"/>
      <c r="S93" t="inlineStr"/>
    </row>
    <row r="94">
      <c r="A94" t="inlineStr">
        <is>
          <t>Dev</t>
        </is>
      </c>
      <c r="B94" s="28" t="inlineStr">
        <is>
          <t>FILTER-11299</t>
        </is>
      </c>
      <c r="C94" s="20" t="inlineStr">
        <is>
          <t>PHP: Uncategorised block logic ignores domain's basegen when primary domain is not categorized and sub domain categorizarion is disabled</t>
        </is>
      </c>
      <c r="D94" t="inlineStr">
        <is>
          <t>FILTER-11293</t>
        </is>
      </c>
      <c r="E94" t="inlineStr">
        <is>
          <t>Escape Defect</t>
        </is>
      </c>
      <c r="F94" t="inlineStr">
        <is>
          <t>Vaibhav Kumbhar</t>
        </is>
      </c>
      <c r="G94" t="inlineStr">
        <is>
          <t>Done</t>
        </is>
      </c>
      <c r="H94" t="inlineStr"/>
      <c r="I94" t="inlineStr">
        <is>
          <t>P2</t>
        </is>
      </c>
      <c r="J94" s="29" t="n">
        <v>45995</v>
      </c>
      <c r="L94" s="29" t="n">
        <v>46012</v>
      </c>
      <c r="M94" t="inlineStr">
        <is>
          <t>sprint-Arthur</t>
        </is>
      </c>
      <c r="N94" s="11" t="n">
        <v>8</v>
      </c>
      <c r="O94" s="11" t="n">
        <v>8</v>
      </c>
      <c r="P94" t="inlineStr">
        <is>
          <t>FILTER</t>
        </is>
      </c>
      <c r="Q94" t="inlineStr"/>
      <c r="R94" t="inlineStr"/>
      <c r="S94" t="inlineStr"/>
    </row>
    <row r="95">
      <c r="A95" t="inlineStr">
        <is>
          <t>Dev</t>
        </is>
      </c>
      <c r="B95" s="28" t="inlineStr">
        <is>
          <t>FILTER-11300</t>
        </is>
      </c>
      <c r="C95" s="20" t="inlineStr">
        <is>
          <t>GO: Uncategorised block logic ignores domain's basegen when primary domain is not categorized and sub domain categorizarion is disabled</t>
        </is>
      </c>
      <c r="D95" t="inlineStr">
        <is>
          <t>FILTER-11293</t>
        </is>
      </c>
      <c r="E95" t="inlineStr">
        <is>
          <t>Escape Defect</t>
        </is>
      </c>
      <c r="F95" t="inlineStr">
        <is>
          <t>Vaibhav Kumbhar</t>
        </is>
      </c>
      <c r="G95" t="inlineStr">
        <is>
          <t>Done</t>
        </is>
      </c>
      <c r="H95" t="inlineStr"/>
      <c r="I95" t="inlineStr">
        <is>
          <t>P2</t>
        </is>
      </c>
      <c r="J95" s="29" t="n">
        <v>45995</v>
      </c>
      <c r="L95" s="29" t="n">
        <v>46012</v>
      </c>
      <c r="M95" t="inlineStr">
        <is>
          <t>sprint-Arthur</t>
        </is>
      </c>
      <c r="N95" s="11" t="n">
        <v>6</v>
      </c>
      <c r="O95" s="11" t="n">
        <v>8</v>
      </c>
      <c r="P95" t="inlineStr">
        <is>
          <t>FILTER</t>
        </is>
      </c>
      <c r="Q95" t="inlineStr"/>
      <c r="R95" t="inlineStr"/>
      <c r="S95" t="inlineStr"/>
    </row>
    <row r="96">
      <c r="A96" t="inlineStr">
        <is>
          <t>Dev</t>
        </is>
      </c>
      <c r="B96" s="28" t="inlineStr">
        <is>
          <t>FILTER-11341</t>
        </is>
      </c>
      <c r="C96" s="20" t="inlineStr">
        <is>
          <t>Fix PHP Broker Logging Invalid SourceIP Causing OS Ingestion Failure</t>
        </is>
      </c>
      <c r="D96" t="inlineStr">
        <is>
          <t>FILTER-11340</t>
        </is>
      </c>
      <c r="E96" t="inlineStr">
        <is>
          <t>Escape Defect</t>
        </is>
      </c>
      <c r="F96" t="inlineStr">
        <is>
          <t>Vaibhav Kumbhar</t>
        </is>
      </c>
      <c r="G96" t="inlineStr">
        <is>
          <t>Done</t>
        </is>
      </c>
      <c r="H96" t="inlineStr"/>
      <c r="I96" t="inlineStr">
        <is>
          <t>P3</t>
        </is>
      </c>
      <c r="J96" s="29" t="n">
        <v>45999</v>
      </c>
      <c r="L96" s="29" t="n">
        <v>46062</v>
      </c>
      <c r="M96" t="inlineStr">
        <is>
          <t>sprint-Arthur</t>
        </is>
      </c>
      <c r="N96" s="11" t="n">
        <v>6</v>
      </c>
      <c r="O96" s="11" t="n">
        <v>0</v>
      </c>
      <c r="P96" t="inlineStr">
        <is>
          <t>FILTER</t>
        </is>
      </c>
      <c r="Q96" t="inlineStr"/>
      <c r="R96" t="inlineStr"/>
      <c r="S96" t="inlineStr"/>
    </row>
    <row r="97">
      <c r="A97" t="inlineStr">
        <is>
          <t>Task</t>
        </is>
      </c>
      <c r="B97" s="28" t="inlineStr">
        <is>
          <t>FILTER-11347</t>
        </is>
      </c>
      <c r="C97" s="20" t="inlineStr">
        <is>
          <t>Rebroker open tabs for Windows</t>
        </is>
      </c>
      <c r="D97" t="inlineStr"/>
      <c r="E97" t="inlineStr"/>
      <c r="F97" t="inlineStr">
        <is>
          <t>Vaibhav Kumbhar</t>
        </is>
      </c>
      <c r="G97" t="inlineStr">
        <is>
          <t>RELEASED TO PROD</t>
        </is>
      </c>
      <c r="H97" t="inlineStr">
        <is>
          <t>Done</t>
        </is>
      </c>
      <c r="I97" t="inlineStr">
        <is>
          <t>P3</t>
        </is>
      </c>
      <c r="J97" s="29" t="n">
        <v>45974</v>
      </c>
      <c r="K97" s="29" t="n">
        <v>46010</v>
      </c>
      <c r="L97" s="29" t="n">
        <v>46062</v>
      </c>
      <c r="M97" t="inlineStr">
        <is>
          <t>sprint-Arthur</t>
        </is>
      </c>
      <c r="N97" s="11" t="n">
        <v>0</v>
      </c>
      <c r="O97" s="11" t="n">
        <v>10</v>
      </c>
      <c r="P97" t="inlineStr">
        <is>
          <t>FILTER</t>
        </is>
      </c>
      <c r="Q97" t="inlineStr">
        <is>
          <t>jira_added, jira_backlog, jira_escalated, jira_in_progress, jira_resolved</t>
        </is>
      </c>
      <c r="R97" t="inlineStr"/>
      <c r="S97" t="inlineStr"/>
    </row>
    <row r="98">
      <c r="A98" t="inlineStr">
        <is>
          <t>Dev</t>
        </is>
      </c>
      <c r="B98" s="28" t="inlineStr">
        <is>
          <t>FILTER-11348</t>
        </is>
      </c>
      <c r="C98" s="20" t="inlineStr">
        <is>
          <t>Fix CRXTN crextn_reload_tab_fids Failure to Rebroker Open Tabs on Windows OS</t>
        </is>
      </c>
      <c r="D98" t="inlineStr">
        <is>
          <t>FILTER-11347</t>
        </is>
      </c>
      <c r="E98" t="inlineStr">
        <is>
          <t>Task</t>
        </is>
      </c>
      <c r="F98" t="inlineStr">
        <is>
          <t>Vaibhav Kumbhar</t>
        </is>
      </c>
      <c r="G98" t="inlineStr">
        <is>
          <t>Done</t>
        </is>
      </c>
      <c r="H98" t="inlineStr"/>
      <c r="I98" t="inlineStr">
        <is>
          <t>P3</t>
        </is>
      </c>
      <c r="J98" s="29" t="n">
        <v>45999</v>
      </c>
      <c r="L98" s="29" t="n">
        <v>46010</v>
      </c>
      <c r="M98" t="inlineStr">
        <is>
          <t>sprint-Arthur</t>
        </is>
      </c>
      <c r="N98" s="11" t="n">
        <v>10</v>
      </c>
      <c r="O98" s="11" t="n">
        <v>12</v>
      </c>
      <c r="P98" t="inlineStr">
        <is>
          <t>FILTER</t>
        </is>
      </c>
      <c r="Q98" t="inlineStr"/>
      <c r="R98" t="inlineStr"/>
      <c r="S98" t="inlineStr"/>
    </row>
    <row r="99">
      <c r="A99" t="inlineStr">
        <is>
          <t>Dev</t>
        </is>
      </c>
      <c r="B99" s="28" t="inlineStr">
        <is>
          <t>FILTER-11453</t>
        </is>
      </c>
      <c r="C99" s="20" t="inlineStr">
        <is>
          <t>Write script to fetch top 2000 uncategorized domains to categorize them</t>
        </is>
      </c>
      <c r="D99" t="inlineStr">
        <is>
          <t>FILTER-11293</t>
        </is>
      </c>
      <c r="E99" t="inlineStr">
        <is>
          <t>Escape Defect</t>
        </is>
      </c>
      <c r="F99" t="inlineStr">
        <is>
          <t>Vaibhav Kumbhar</t>
        </is>
      </c>
      <c r="G99" t="inlineStr">
        <is>
          <t>Closed without action</t>
        </is>
      </c>
      <c r="H99" t="inlineStr"/>
      <c r="I99" t="inlineStr">
        <is>
          <t>P2</t>
        </is>
      </c>
      <c r="J99" s="29" t="n">
        <v>46007</v>
      </c>
      <c r="L99" s="29" t="n">
        <v>46012</v>
      </c>
      <c r="M99" t="inlineStr">
        <is>
          <t>sprint-Arthur</t>
        </is>
      </c>
      <c r="N99" s="11" t="n">
        <v>4</v>
      </c>
      <c r="O99" s="11" t="n">
        <v>0</v>
      </c>
      <c r="P99" t="inlineStr">
        <is>
          <t>FILTER</t>
        </is>
      </c>
      <c r="Q99" t="inlineStr"/>
      <c r="R99" t="inlineStr"/>
      <c r="S99" t="inlineStr"/>
    </row>
  </sheetData>
  <autoFilter ref="A1:S9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t="inlineStr">
        <is>
          <t>Code Review</t>
        </is>
      </c>
      <c r="B2" s="28" t="inlineStr">
        <is>
          <t>FILTER-11311</t>
        </is>
      </c>
      <c r="C2" s="20" t="inlineStr">
        <is>
          <t>Review PR for the REL : REL-10348</t>
        </is>
      </c>
      <c r="D2" t="inlineStr"/>
      <c r="E2" t="inlineStr"/>
      <c r="F2" t="inlineStr">
        <is>
          <t>Arun Thakur</t>
        </is>
      </c>
      <c r="G2" t="inlineStr">
        <is>
          <t>Backlog</t>
        </is>
      </c>
      <c r="H2" t="inlineStr"/>
      <c r="I2" t="inlineStr">
        <is>
          <t>P3</t>
        </is>
      </c>
      <c r="J2" s="29" t="n">
        <v>45995</v>
      </c>
      <c r="L2" s="29" t="n">
        <v>46056</v>
      </c>
      <c r="M2" t="inlineStr">
        <is>
          <t>sprint-Arthur</t>
        </is>
      </c>
      <c r="N2" s="11" t="n">
        <v>0</v>
      </c>
      <c r="O2" s="11" t="n">
        <v>0.25</v>
      </c>
      <c r="P2" t="inlineStr">
        <is>
          <t>FILTER</t>
        </is>
      </c>
      <c r="Q2" t="inlineStr"/>
      <c r="R2" t="inlineStr"/>
      <c r="S2" t="inlineStr"/>
    </row>
    <row r="3">
      <c r="A3" t="inlineStr">
        <is>
          <t>Code Review</t>
        </is>
      </c>
      <c r="B3" s="28" t="inlineStr">
        <is>
          <t>FILTER-11327</t>
        </is>
      </c>
      <c r="C3" s="20" t="inlineStr">
        <is>
          <t>Review PR for the REL : REL-10355</t>
        </is>
      </c>
      <c r="D3" t="inlineStr"/>
      <c r="E3" t="inlineStr"/>
      <c r="F3" t="inlineStr">
        <is>
          <t>Arun Thakur</t>
        </is>
      </c>
      <c r="G3" t="inlineStr">
        <is>
          <t>Backlog</t>
        </is>
      </c>
      <c r="H3" t="inlineStr"/>
      <c r="I3" t="inlineStr">
        <is>
          <t>P3</t>
        </is>
      </c>
      <c r="J3" s="29" t="n">
        <v>45996</v>
      </c>
      <c r="L3" s="29" t="n">
        <v>46056</v>
      </c>
      <c r="M3" t="inlineStr">
        <is>
          <t>sprint-Arthur</t>
        </is>
      </c>
      <c r="N3" s="11" t="n">
        <v>0</v>
      </c>
      <c r="O3" s="11" t="n">
        <v>0.25</v>
      </c>
      <c r="P3" t="inlineStr">
        <is>
          <t>FILTER</t>
        </is>
      </c>
      <c r="Q3" t="inlineStr"/>
      <c r="R3" t="inlineStr"/>
      <c r="S3" t="inlineStr"/>
    </row>
    <row r="4">
      <c r="A4" t="inlineStr">
        <is>
          <t>Code Review</t>
        </is>
      </c>
      <c r="B4" s="28" t="inlineStr">
        <is>
          <t>FILTER-11406</t>
        </is>
      </c>
      <c r="C4" s="20" t="inlineStr">
        <is>
          <t>Review PR for the REL : REL-10361</t>
        </is>
      </c>
      <c r="D4" t="inlineStr"/>
      <c r="E4" t="inlineStr"/>
      <c r="F4" t="inlineStr">
        <is>
          <t>Arun Thakur</t>
        </is>
      </c>
      <c r="G4" t="inlineStr">
        <is>
          <t>Backlog</t>
        </is>
      </c>
      <c r="H4" t="inlineStr"/>
      <c r="I4" t="inlineStr">
        <is>
          <t>P3</t>
        </is>
      </c>
      <c r="J4" s="29" t="n">
        <v>46001</v>
      </c>
      <c r="L4" s="29" t="n">
        <v>46056</v>
      </c>
      <c r="M4" t="inlineStr">
        <is>
          <t>sprint-Arthur</t>
        </is>
      </c>
      <c r="N4" s="11" t="n">
        <v>0</v>
      </c>
      <c r="O4" s="11" t="n">
        <v>0</v>
      </c>
      <c r="P4" t="inlineStr">
        <is>
          <t>FILTER</t>
        </is>
      </c>
      <c r="Q4" t="inlineStr"/>
      <c r="R4" t="inlineStr"/>
      <c r="S4" t="inlineStr"/>
    </row>
    <row r="5">
      <c r="A5" t="inlineStr">
        <is>
          <t>Epic</t>
        </is>
      </c>
      <c r="B5" s="28" t="inlineStr">
        <is>
          <t>FILTER-10635</t>
        </is>
      </c>
      <c r="C5" s="20" t="inlineStr">
        <is>
          <t>Force PR to get blocked if PR checks are failing</t>
        </is>
      </c>
      <c r="D5" t="inlineStr"/>
      <c r="E5" t="inlineStr"/>
      <c r="F5" t="inlineStr">
        <is>
          <t>Harsh Verma</t>
        </is>
      </c>
      <c r="G5" t="inlineStr">
        <is>
          <t>Development In Progress</t>
        </is>
      </c>
      <c r="H5" t="inlineStr"/>
      <c r="I5" t="inlineStr">
        <is>
          <t>P2</t>
        </is>
      </c>
      <c r="J5" s="29" t="n">
        <v>45967</v>
      </c>
      <c r="L5" s="29" t="n">
        <v>46084</v>
      </c>
      <c r="M5" t="inlineStr">
        <is>
          <t>sprint-Arthur</t>
        </is>
      </c>
      <c r="N5" s="11" t="n">
        <v>8</v>
      </c>
      <c r="O5" s="11" t="n">
        <v>0</v>
      </c>
      <c r="P5" t="inlineStr">
        <is>
          <t>FILTER</t>
        </is>
      </c>
      <c r="Q5" t="inlineStr">
        <is>
          <t>unplanned-sprint</t>
        </is>
      </c>
      <c r="R5" t="inlineStr"/>
      <c r="S5" t="inlineStr"/>
    </row>
    <row r="6">
      <c r="A6" t="inlineStr">
        <is>
          <t>Code Review</t>
        </is>
      </c>
      <c r="B6" s="28" t="inlineStr">
        <is>
          <t>FILTER-11063</t>
        </is>
      </c>
      <c r="C6" s="20" t="inlineStr">
        <is>
          <t>Review PR for the REL : REL-10254</t>
        </is>
      </c>
      <c r="D6" t="inlineStr"/>
      <c r="E6" t="inlineStr"/>
      <c r="F6" t="inlineStr">
        <is>
          <t>Harsh Verma</t>
        </is>
      </c>
      <c r="G6" t="inlineStr">
        <is>
          <t>Backlog</t>
        </is>
      </c>
      <c r="H6" t="inlineStr"/>
      <c r="I6" t="inlineStr">
        <is>
          <t>P3</t>
        </is>
      </c>
      <c r="J6" s="29" t="n">
        <v>45989</v>
      </c>
      <c r="L6" s="29" t="n">
        <v>46056</v>
      </c>
      <c r="M6" t="inlineStr">
        <is>
          <t>sprint-Arthur</t>
        </is>
      </c>
      <c r="N6" s="11" t="n">
        <v>0</v>
      </c>
      <c r="O6" s="11" t="n">
        <v>0</v>
      </c>
      <c r="P6" t="inlineStr">
        <is>
          <t>FILTER</t>
        </is>
      </c>
      <c r="Q6" t="inlineStr"/>
      <c r="R6" t="inlineStr"/>
      <c r="S6" t="inlineStr"/>
    </row>
    <row r="7">
      <c r="A7" t="inlineStr">
        <is>
          <t>Code Review</t>
        </is>
      </c>
      <c r="B7" s="28" t="inlineStr">
        <is>
          <t>FILTER-11427</t>
        </is>
      </c>
      <c r="C7" s="20" t="inlineStr">
        <is>
          <t>Review PR for the REL : REL-10316</t>
        </is>
      </c>
      <c r="D7" t="inlineStr"/>
      <c r="E7" t="inlineStr"/>
      <c r="F7" t="inlineStr">
        <is>
          <t>Harsh Verma</t>
        </is>
      </c>
      <c r="G7" t="inlineStr">
        <is>
          <t>Backlog</t>
        </is>
      </c>
      <c r="H7" t="inlineStr"/>
      <c r="I7" t="inlineStr">
        <is>
          <t>P3</t>
        </is>
      </c>
      <c r="J7" s="29" t="n">
        <v>46002</v>
      </c>
      <c r="L7" s="29" t="n">
        <v>46056</v>
      </c>
      <c r="M7" t="inlineStr">
        <is>
          <t>sprint-Arthur</t>
        </is>
      </c>
      <c r="N7" s="11" t="n">
        <v>0</v>
      </c>
      <c r="O7" s="11" t="n">
        <v>0</v>
      </c>
      <c r="P7" t="inlineStr">
        <is>
          <t>FILTER</t>
        </is>
      </c>
      <c r="Q7" t="inlineStr"/>
      <c r="R7" t="inlineStr"/>
      <c r="S7" t="inlineStr"/>
    </row>
    <row r="8">
      <c r="A8" t="inlineStr">
        <is>
          <t>Code Review</t>
        </is>
      </c>
      <c r="B8" s="28" t="inlineStr">
        <is>
          <t>FILTER-11303</t>
        </is>
      </c>
      <c r="C8" s="20" t="inlineStr">
        <is>
          <t>Review PR for the REL : REL-10345</t>
        </is>
      </c>
      <c r="D8" t="inlineStr"/>
      <c r="E8" t="inlineStr"/>
      <c r="F8" t="inlineStr">
        <is>
          <t>Pratik Tiwari</t>
        </is>
      </c>
      <c r="G8" t="inlineStr">
        <is>
          <t>Backlog</t>
        </is>
      </c>
      <c r="H8" t="inlineStr"/>
      <c r="I8" t="inlineStr">
        <is>
          <t>P3</t>
        </is>
      </c>
      <c r="J8" s="29" t="n">
        <v>45995</v>
      </c>
      <c r="L8" s="29" t="n">
        <v>46056</v>
      </c>
      <c r="M8" t="inlineStr">
        <is>
          <t>sprint-Arthur</t>
        </is>
      </c>
      <c r="N8" s="11" t="n">
        <v>0</v>
      </c>
      <c r="O8" s="11" t="n">
        <v>0</v>
      </c>
      <c r="P8" t="inlineStr">
        <is>
          <t>FILTER</t>
        </is>
      </c>
      <c r="Q8" t="inlineStr"/>
      <c r="R8" t="inlineStr"/>
      <c r="S8" t="inlineStr"/>
    </row>
    <row r="9">
      <c r="A9" t="inlineStr">
        <is>
          <t>Code Review</t>
        </is>
      </c>
      <c r="B9" s="28" t="inlineStr">
        <is>
          <t>FILTER-11310</t>
        </is>
      </c>
      <c r="C9" s="20" t="inlineStr">
        <is>
          <t>Review PR for the REL : REL-10321</t>
        </is>
      </c>
      <c r="D9" t="inlineStr"/>
      <c r="E9" t="inlineStr"/>
      <c r="F9" t="inlineStr">
        <is>
          <t>Pratik Tiwari</t>
        </is>
      </c>
      <c r="G9" t="inlineStr">
        <is>
          <t>Backlog</t>
        </is>
      </c>
      <c r="H9" t="inlineStr"/>
      <c r="I9" t="inlineStr">
        <is>
          <t>P3</t>
        </is>
      </c>
      <c r="J9" s="29" t="n">
        <v>45995</v>
      </c>
      <c r="L9" s="29" t="n">
        <v>46056</v>
      </c>
      <c r="M9" t="inlineStr">
        <is>
          <t>sprint-Arthur</t>
        </is>
      </c>
      <c r="N9" s="11" t="n">
        <v>0</v>
      </c>
      <c r="O9" s="11" t="n">
        <v>0</v>
      </c>
      <c r="P9" t="inlineStr">
        <is>
          <t>FILTER</t>
        </is>
      </c>
      <c r="Q9" t="inlineStr"/>
      <c r="R9" t="inlineStr"/>
      <c r="S9" t="inlineStr"/>
    </row>
    <row r="10">
      <c r="A10" t="inlineStr">
        <is>
          <t>Code Review</t>
        </is>
      </c>
      <c r="B10" s="28" t="inlineStr">
        <is>
          <t>FILTER-11404</t>
        </is>
      </c>
      <c r="C10" s="20" t="inlineStr">
        <is>
          <t>Review PR for the REL : REL-10361</t>
        </is>
      </c>
      <c r="D10" t="inlineStr"/>
      <c r="E10" t="inlineStr"/>
      <c r="F10" t="inlineStr">
        <is>
          <t>Pratik Tiwari</t>
        </is>
      </c>
      <c r="G10" t="inlineStr">
        <is>
          <t>Backlog</t>
        </is>
      </c>
      <c r="H10" t="inlineStr"/>
      <c r="I10" t="inlineStr">
        <is>
          <t>P3</t>
        </is>
      </c>
      <c r="J10" s="29" t="n">
        <v>46001</v>
      </c>
      <c r="L10" s="29" t="n">
        <v>46056</v>
      </c>
      <c r="M10" t="inlineStr">
        <is>
          <t>sprint-Arthur</t>
        </is>
      </c>
      <c r="N10" s="11" t="n">
        <v>0</v>
      </c>
      <c r="O10" s="11" t="n">
        <v>0</v>
      </c>
      <c r="P10" t="inlineStr">
        <is>
          <t>FILTER</t>
        </is>
      </c>
      <c r="Q10" t="inlineStr"/>
      <c r="R10" t="inlineStr"/>
      <c r="S10" t="inlineStr"/>
    </row>
    <row r="11">
      <c r="A11" t="inlineStr">
        <is>
          <t>Code Review</t>
        </is>
      </c>
      <c r="B11" s="28" t="inlineStr">
        <is>
          <t>FILTER-11064</t>
        </is>
      </c>
      <c r="C11" s="20" t="inlineStr">
        <is>
          <t>Review PR for the REL : REL-10254</t>
        </is>
      </c>
      <c r="D11" t="inlineStr"/>
      <c r="E11" t="inlineStr"/>
      <c r="F11" t="inlineStr">
        <is>
          <t>Swaroop Chavhan</t>
        </is>
      </c>
      <c r="G11" t="inlineStr">
        <is>
          <t>Backlog</t>
        </is>
      </c>
      <c r="H11" t="inlineStr"/>
      <c r="I11" t="inlineStr">
        <is>
          <t>P3</t>
        </is>
      </c>
      <c r="J11" s="29" t="n">
        <v>45989</v>
      </c>
      <c r="L11" s="29" t="n">
        <v>46056</v>
      </c>
      <c r="M11" t="inlineStr">
        <is>
          <t>sprint-Arthur</t>
        </is>
      </c>
      <c r="N11" s="11" t="n">
        <v>0</v>
      </c>
      <c r="O11" s="11" t="n">
        <v>0</v>
      </c>
      <c r="P11" t="inlineStr">
        <is>
          <t>FILTER</t>
        </is>
      </c>
      <c r="Q11" t="inlineStr"/>
      <c r="R11" t="inlineStr"/>
      <c r="S11" t="inlineStr"/>
    </row>
    <row r="12">
      <c r="A12" t="inlineStr">
        <is>
          <t>Code Review</t>
        </is>
      </c>
      <c r="B12" s="28" t="inlineStr">
        <is>
          <t>FILTER-11301</t>
        </is>
      </c>
      <c r="C12" s="20" t="inlineStr">
        <is>
          <t>Review PR for the REL : REL-10345</t>
        </is>
      </c>
      <c r="D12" t="inlineStr"/>
      <c r="E12" t="inlineStr"/>
      <c r="F12" t="inlineStr">
        <is>
          <t>Swaroop Chavhan</t>
        </is>
      </c>
      <c r="G12" t="inlineStr">
        <is>
          <t>Backlog</t>
        </is>
      </c>
      <c r="H12" t="inlineStr"/>
      <c r="I12" t="inlineStr">
        <is>
          <t>P3</t>
        </is>
      </c>
      <c r="J12" s="29" t="n">
        <v>45995</v>
      </c>
      <c r="L12" s="29" t="n">
        <v>46056</v>
      </c>
      <c r="M12" t="inlineStr">
        <is>
          <t>sprint-Arthur</t>
        </is>
      </c>
      <c r="N12" s="11" t="n">
        <v>0</v>
      </c>
      <c r="O12" s="11" t="n">
        <v>0</v>
      </c>
      <c r="P12" t="inlineStr">
        <is>
          <t>FILTER</t>
        </is>
      </c>
      <c r="Q12" t="inlineStr"/>
      <c r="R12" t="inlineStr"/>
      <c r="S12" t="inlineStr"/>
    </row>
    <row r="13">
      <c r="A13" t="inlineStr">
        <is>
          <t>Code Review</t>
        </is>
      </c>
      <c r="B13" s="28" t="inlineStr">
        <is>
          <t>FILTER-11372</t>
        </is>
      </c>
      <c r="C13" s="20" t="inlineStr">
        <is>
          <t>Review PR for the REL : REL-10198</t>
        </is>
      </c>
      <c r="D13" t="inlineStr"/>
      <c r="E13" t="inlineStr"/>
      <c r="F13" t="inlineStr">
        <is>
          <t>Swaroop Chavhan</t>
        </is>
      </c>
      <c r="G13" t="inlineStr">
        <is>
          <t>Backlog</t>
        </is>
      </c>
      <c r="H13" t="inlineStr"/>
      <c r="I13" t="inlineStr">
        <is>
          <t>P3</t>
        </is>
      </c>
      <c r="J13" s="29" t="n">
        <v>46000</v>
      </c>
      <c r="L13" s="29" t="n">
        <v>46056</v>
      </c>
      <c r="M13" t="inlineStr">
        <is>
          <t>sprint-Arthur</t>
        </is>
      </c>
      <c r="N13" s="11" t="n">
        <v>0</v>
      </c>
      <c r="O13" s="11" t="n">
        <v>0</v>
      </c>
      <c r="P13" t="inlineStr">
        <is>
          <t>FILTER</t>
        </is>
      </c>
      <c r="Q13" t="inlineStr"/>
      <c r="R13" t="inlineStr"/>
      <c r="S13" t="inlineStr"/>
    </row>
    <row r="14">
      <c r="A14" t="inlineStr">
        <is>
          <t>Code Review</t>
        </is>
      </c>
      <c r="B14" s="28" t="inlineStr">
        <is>
          <t>FILTER-11405</t>
        </is>
      </c>
      <c r="C14" s="20" t="inlineStr">
        <is>
          <t>Review PR for the REL : REL-10361</t>
        </is>
      </c>
      <c r="D14" t="inlineStr"/>
      <c r="E14" t="inlineStr"/>
      <c r="F14" t="inlineStr">
        <is>
          <t>Swaroop Chavhan</t>
        </is>
      </c>
      <c r="G14" t="inlineStr">
        <is>
          <t>Backlog</t>
        </is>
      </c>
      <c r="H14" t="inlineStr"/>
      <c r="I14" t="inlineStr">
        <is>
          <t>P3</t>
        </is>
      </c>
      <c r="J14" s="29" t="n">
        <v>46001</v>
      </c>
      <c r="L14" s="29" t="n">
        <v>46056</v>
      </c>
      <c r="M14" t="inlineStr">
        <is>
          <t>sprint-Arthur</t>
        </is>
      </c>
      <c r="N14" s="11" t="n">
        <v>0</v>
      </c>
      <c r="O14" s="11" t="n">
        <v>0</v>
      </c>
      <c r="P14" t="inlineStr">
        <is>
          <t>FILTER</t>
        </is>
      </c>
      <c r="Q14" t="inlineStr"/>
      <c r="R14" t="inlineStr"/>
      <c r="S14" t="inlineStr"/>
    </row>
  </sheetData>
  <autoFilter ref="A1:S1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Escape Defect</t>
        </is>
      </c>
      <c r="B2" s="23" t="inlineStr">
        <is>
          <t>FILTER-7871</t>
        </is>
      </c>
      <c r="C2" s="24" t="inlineStr">
        <is>
          <t>P1 Escalation-Shortcut SmartPAC bypass; --user-agent | Seattleschools</t>
        </is>
      </c>
      <c r="D2" s="22" t="inlineStr"/>
      <c r="E2" s="22" t="inlineStr"/>
      <c r="F2" s="22" t="inlineStr">
        <is>
          <t>Ashish Temurnikar</t>
        </is>
      </c>
      <c r="G2" s="22" t="inlineStr">
        <is>
          <t>Closed</t>
        </is>
      </c>
      <c r="H2" s="22" t="inlineStr">
        <is>
          <t>Expected behavior</t>
        </is>
      </c>
      <c r="I2" s="22" t="inlineStr">
        <is>
          <t>P1</t>
        </is>
      </c>
      <c r="J2" s="25" t="n">
        <v>45758</v>
      </c>
      <c r="K2" s="25" t="n">
        <v>46041</v>
      </c>
      <c r="L2" s="25" t="n">
        <v>46062</v>
      </c>
      <c r="M2" s="22" t="inlineStr">
        <is>
          <t>sprint-Arthur</t>
        </is>
      </c>
      <c r="N2" s="26" t="n">
        <v>0</v>
      </c>
      <c r="O2" s="26" t="n">
        <v>0</v>
      </c>
      <c r="P2" s="22" t="inlineStr">
        <is>
          <t>FILTER</t>
        </is>
      </c>
      <c r="Q2" s="22" t="inlineStr">
        <is>
          <t>Reverified-2026, jira_added, jira_backlog, jira_closed_notify, jira_escalated, jira_in_progress, jira_open, jira_reopened, p1escalation, unplanned-sprint</t>
        </is>
      </c>
      <c r="R2" s="22" t="inlineStr"/>
      <c r="S2" s="27" t="inlineStr">
        <is>
          <t>YES</t>
        </is>
      </c>
    </row>
    <row r="3">
      <c r="A3" s="22" t="inlineStr">
        <is>
          <t>Task</t>
        </is>
      </c>
      <c r="B3" s="23" t="inlineStr">
        <is>
          <t>FDSE-140</t>
        </is>
      </c>
      <c r="C3" s="24" t="inlineStr">
        <is>
          <t>Implementation of Simple dropdown component with all the defined guidelines</t>
        </is>
      </c>
      <c r="D3" s="22" t="inlineStr">
        <is>
          <t>FDSE-139</t>
        </is>
      </c>
      <c r="E3" s="22" t="inlineStr">
        <is>
          <t>Epic</t>
        </is>
      </c>
      <c r="F3" s="22" t="inlineStr">
        <is>
          <t>Harshada Kude</t>
        </is>
      </c>
      <c r="G3" s="22" t="inlineStr">
        <is>
          <t>Resolved</t>
        </is>
      </c>
      <c r="H3" s="22" t="inlineStr">
        <is>
          <t>Fixed</t>
        </is>
      </c>
      <c r="I3" s="22" t="inlineStr">
        <is>
          <t>P3</t>
        </is>
      </c>
      <c r="J3" s="25" t="n">
        <v>46000</v>
      </c>
      <c r="K3" s="25" t="n">
        <v>46055</v>
      </c>
      <c r="L3" s="25" t="n">
        <v>46055</v>
      </c>
      <c r="M3" s="22" t="inlineStr">
        <is>
          <t>sprint-Arthur</t>
        </is>
      </c>
      <c r="N3" s="26" t="n">
        <v>38</v>
      </c>
      <c r="O3" s="26" t="n">
        <v>32</v>
      </c>
      <c r="P3" s="22" t="inlineStr">
        <is>
          <t>FDSE</t>
        </is>
      </c>
      <c r="Q3" s="22" t="inlineStr"/>
      <c r="R3" s="22" t="inlineStr"/>
      <c r="S3" s="27" t="inlineStr">
        <is>
          <t>YES</t>
        </is>
      </c>
    </row>
    <row r="4">
      <c r="A4" s="22" t="inlineStr">
        <is>
          <t>Task</t>
        </is>
      </c>
      <c r="B4" s="23" t="inlineStr">
        <is>
          <t>FILTER-11592</t>
        </is>
      </c>
      <c r="C4" s="24" t="inlineStr">
        <is>
          <t>[sprox] Function translation to sprox - Part 3</t>
        </is>
      </c>
      <c r="D4" s="22" t="inlineStr"/>
      <c r="E4" s="22" t="inlineStr"/>
      <c r="F4" s="22" t="inlineStr">
        <is>
          <t>Ravi Raj</t>
        </is>
      </c>
      <c r="G4" s="22" t="inlineStr">
        <is>
          <t>Closed</t>
        </is>
      </c>
      <c r="H4" s="22" t="inlineStr"/>
      <c r="I4" s="22" t="inlineStr">
        <is>
          <t>P2</t>
        </is>
      </c>
      <c r="J4" s="25" t="n">
        <v>46027</v>
      </c>
      <c r="K4" s="22" t="n"/>
      <c r="L4" s="25" t="n">
        <v>46128</v>
      </c>
      <c r="M4" s="22" t="inlineStr">
        <is>
          <t>sprint-Arthur</t>
        </is>
      </c>
      <c r="N4" s="26" t="n">
        <v>24</v>
      </c>
      <c r="O4" s="26" t="n">
        <v>1</v>
      </c>
      <c r="P4" s="22" t="inlineStr">
        <is>
          <t>FILTER</t>
        </is>
      </c>
      <c r="Q4" s="22" t="inlineStr"/>
      <c r="R4" s="22" t="inlineStr"/>
      <c r="S4" s="27" t="inlineStr">
        <is>
          <t>YES</t>
        </is>
      </c>
    </row>
    <row r="5">
      <c r="A5" s="22" t="inlineStr">
        <is>
          <t>Task</t>
        </is>
      </c>
      <c r="B5" s="23" t="inlineStr">
        <is>
          <t>FDSE-123</t>
        </is>
      </c>
      <c r="C5" s="24" t="inlineStr">
        <is>
          <t>Simple search component implementation without chip and without auto-complete</t>
        </is>
      </c>
      <c r="D5" s="22" t="inlineStr">
        <is>
          <t>FDSE-122</t>
        </is>
      </c>
      <c r="E5" s="22" t="inlineStr">
        <is>
          <t>Epic</t>
        </is>
      </c>
      <c r="F5" s="22" t="inlineStr">
        <is>
          <t>Shailendra Singh</t>
        </is>
      </c>
      <c r="G5" s="22" t="inlineStr">
        <is>
          <t>Resolved</t>
        </is>
      </c>
      <c r="H5" s="22" t="inlineStr"/>
      <c r="I5" s="22" t="inlineStr">
        <is>
          <t>P3</t>
        </is>
      </c>
      <c r="J5" s="25" t="n">
        <v>45995</v>
      </c>
      <c r="K5" s="22" t="n"/>
      <c r="L5" s="25" t="n">
        <v>46064</v>
      </c>
      <c r="M5" s="22" t="inlineStr">
        <is>
          <t>sprint-Arthur</t>
        </is>
      </c>
      <c r="N5" s="26" t="n">
        <v>4</v>
      </c>
      <c r="O5" s="26" t="n">
        <v>24</v>
      </c>
      <c r="P5" s="22" t="inlineStr">
        <is>
          <t>FDSE</t>
        </is>
      </c>
      <c r="Q5" s="22" t="inlineStr">
        <is>
          <t>Capitalized-Feature, product-filter</t>
        </is>
      </c>
      <c r="R5" s="22" t="inlineStr"/>
      <c r="S5" s="27" t="inlineStr">
        <is>
          <t>YES</t>
        </is>
      </c>
    </row>
    <row r="6">
      <c r="A6" s="22" t="inlineStr">
        <is>
          <t>Task</t>
        </is>
      </c>
      <c r="B6" s="23" t="inlineStr">
        <is>
          <t>FDSE-126</t>
        </is>
      </c>
      <c r="C6" s="24" t="inlineStr">
        <is>
          <t>Analysis - Search without chip but with auto-complete component implementation</t>
        </is>
      </c>
      <c r="D6" s="22" t="inlineStr">
        <is>
          <t>FDSE-174</t>
        </is>
      </c>
      <c r="E6" s="22" t="inlineStr">
        <is>
          <t>Epic</t>
        </is>
      </c>
      <c r="F6" s="22" t="inlineStr">
        <is>
          <t>Swaroop Chavhan</t>
        </is>
      </c>
      <c r="G6" s="22" t="inlineStr">
        <is>
          <t>Resolved</t>
        </is>
      </c>
      <c r="H6" s="22" t="inlineStr"/>
      <c r="I6" s="22" t="inlineStr">
        <is>
          <t>P3</t>
        </is>
      </c>
      <c r="J6" s="25" t="n">
        <v>45995</v>
      </c>
      <c r="K6" s="22" t="n"/>
      <c r="L6" s="25" t="n">
        <v>46127</v>
      </c>
      <c r="M6" s="22" t="inlineStr">
        <is>
          <t>sprint-Arthur</t>
        </is>
      </c>
      <c r="N6" s="26" t="n">
        <v>12</v>
      </c>
      <c r="O6" s="26" t="n">
        <v>12</v>
      </c>
      <c r="P6" s="22" t="inlineStr">
        <is>
          <t>FDSE</t>
        </is>
      </c>
      <c r="Q6" s="22" t="inlineStr">
        <is>
          <t>Capitalized-Feature, product-filter</t>
        </is>
      </c>
      <c r="R6" s="22" t="inlineStr"/>
      <c r="S6" s="27" t="inlineStr">
        <is>
          <t>YES</t>
        </is>
      </c>
    </row>
    <row r="7">
      <c r="A7" s="22" t="inlineStr">
        <is>
          <t>Task</t>
        </is>
      </c>
      <c r="B7" s="23" t="inlineStr">
        <is>
          <t>FDSE-137</t>
        </is>
      </c>
      <c r="C7" s="24" t="inlineStr">
        <is>
          <t>Analysis for timepicker component</t>
        </is>
      </c>
      <c r="D7" s="22" t="inlineStr">
        <is>
          <t>FDSE-136</t>
        </is>
      </c>
      <c r="E7" s="22" t="inlineStr">
        <is>
          <t>Epic</t>
        </is>
      </c>
      <c r="F7" s="22" t="inlineStr">
        <is>
          <t>Swaroop Chavhan</t>
        </is>
      </c>
      <c r="G7" s="22" t="inlineStr">
        <is>
          <t>Resolved</t>
        </is>
      </c>
      <c r="H7" s="22" t="inlineStr">
        <is>
          <t>Fixed</t>
        </is>
      </c>
      <c r="I7" s="22" t="inlineStr">
        <is>
          <t>P3</t>
        </is>
      </c>
      <c r="J7" s="25" t="n">
        <v>46000</v>
      </c>
      <c r="K7" s="25" t="n">
        <v>46055</v>
      </c>
      <c r="L7" s="25" t="n">
        <v>46055</v>
      </c>
      <c r="M7" s="22" t="inlineStr">
        <is>
          <t>sprint-Arthur</t>
        </is>
      </c>
      <c r="N7" s="26" t="n">
        <v>16</v>
      </c>
      <c r="O7" s="26" t="n">
        <v>16</v>
      </c>
      <c r="P7" s="22" t="inlineStr">
        <is>
          <t>FDSE</t>
        </is>
      </c>
      <c r="Q7" s="22" t="inlineStr">
        <is>
          <t>product-filter</t>
        </is>
      </c>
      <c r="R7" s="22" t="inlineStr"/>
      <c r="S7" s="27" t="inlineStr">
        <is>
          <t>YES</t>
        </is>
      </c>
    </row>
    <row r="8">
      <c r="A8" t="inlineStr">
        <is>
          <t>Task</t>
        </is>
      </c>
      <c r="B8" s="28" t="inlineStr">
        <is>
          <t>FDSE-142</t>
        </is>
      </c>
      <c r="C8" s="20" t="inlineStr">
        <is>
          <t>Dependabot issue fixes</t>
        </is>
      </c>
      <c r="D8" t="inlineStr"/>
      <c r="E8" t="inlineStr"/>
      <c r="F8" t="inlineStr">
        <is>
          <t>Harsh Verma</t>
        </is>
      </c>
      <c r="G8" t="inlineStr">
        <is>
          <t>Closed</t>
        </is>
      </c>
      <c r="H8" t="inlineStr"/>
      <c r="I8" t="inlineStr">
        <is>
          <t>P3</t>
        </is>
      </c>
      <c r="J8" s="29" t="n">
        <v>46027</v>
      </c>
      <c r="L8" s="29" t="n">
        <v>46084</v>
      </c>
      <c r="M8" t="inlineStr">
        <is>
          <t>sprint-Arthur</t>
        </is>
      </c>
      <c r="N8" s="11" t="n">
        <v>5</v>
      </c>
      <c r="O8" s="11" t="n">
        <v>8</v>
      </c>
      <c r="P8" t="inlineStr">
        <is>
          <t>FDSE</t>
        </is>
      </c>
      <c r="Q8" t="inlineStr">
        <is>
          <t>product-filter</t>
        </is>
      </c>
      <c r="R8" t="inlineStr"/>
      <c r="S8" t="inlineStr"/>
    </row>
    <row r="9">
      <c r="A9" t="inlineStr">
        <is>
          <t>Task</t>
        </is>
      </c>
      <c r="B9" s="28" t="inlineStr">
        <is>
          <t>FILTER-10900</t>
        </is>
      </c>
      <c r="C9" s="20" t="inlineStr">
        <is>
          <t xml:space="preserve">[Dependabot issues]Upgrade jspdf-autotable npm library to latest version (5.0) </t>
        </is>
      </c>
      <c r="D9" t="inlineStr"/>
      <c r="E9" t="inlineStr"/>
      <c r="F9" t="inlineStr">
        <is>
          <t>Harshada Kude</t>
        </is>
      </c>
      <c r="G9" t="inlineStr">
        <is>
          <t>Closed</t>
        </is>
      </c>
      <c r="H9" t="inlineStr"/>
      <c r="I9" t="inlineStr">
        <is>
          <t>P3</t>
        </is>
      </c>
      <c r="J9" s="29" t="n">
        <v>45982</v>
      </c>
      <c r="L9" s="29" t="n">
        <v>46084</v>
      </c>
      <c r="M9" t="inlineStr">
        <is>
          <t>sprint-Arthur</t>
        </is>
      </c>
      <c r="N9" s="11" t="n">
        <v>16</v>
      </c>
      <c r="O9" s="11" t="n">
        <v>0</v>
      </c>
      <c r="P9" t="inlineStr">
        <is>
          <t>FILTER</t>
        </is>
      </c>
      <c r="Q9" t="inlineStr"/>
      <c r="R9" t="inlineStr"/>
      <c r="S9" t="inlineStr"/>
    </row>
    <row r="10">
      <c r="A10" t="inlineStr">
        <is>
          <t>Task</t>
        </is>
      </c>
      <c r="B10" s="28" t="inlineStr">
        <is>
          <t>FILTER-10743</t>
        </is>
      </c>
      <c r="C10" s="20" t="inlineStr">
        <is>
          <t>[sprox] main.rs module separation part-2</t>
        </is>
      </c>
      <c r="D10" t="inlineStr">
        <is>
          <t>FILTER-8230</t>
        </is>
      </c>
      <c r="E10" t="inlineStr">
        <is>
          <t>Epic</t>
        </is>
      </c>
      <c r="F10" t="inlineStr">
        <is>
          <t>Pratik Tiwari</t>
        </is>
      </c>
      <c r="G10" t="inlineStr">
        <is>
          <t>Closed</t>
        </is>
      </c>
      <c r="H10" t="inlineStr"/>
      <c r="I10" t="inlineStr">
        <is>
          <t>P2</t>
        </is>
      </c>
      <c r="J10" s="29" t="n">
        <v>45971</v>
      </c>
      <c r="L10" s="29" t="n">
        <v>46128</v>
      </c>
      <c r="M10" t="inlineStr">
        <is>
          <t>sprint-Arthur</t>
        </is>
      </c>
      <c r="N10" s="11" t="n">
        <v>0</v>
      </c>
      <c r="O10" s="11" t="n">
        <v>10</v>
      </c>
      <c r="P10" t="inlineStr">
        <is>
          <t>FILTER</t>
        </is>
      </c>
      <c r="Q10" t="inlineStr"/>
      <c r="R10" t="inlineStr"/>
      <c r="S10" t="inlineStr"/>
    </row>
    <row r="11">
      <c r="A11" t="inlineStr">
        <is>
          <t>Defect</t>
        </is>
      </c>
      <c r="B11" s="28" t="inlineStr">
        <is>
          <t>FILTER-11581</t>
        </is>
      </c>
      <c r="C11" s="20" t="inlineStr">
        <is>
          <t>NewFeatureBug: SupportTool Customlist API. Name field can be saved with spaces at start and end. Add/Update</t>
        </is>
      </c>
      <c r="D11" t="inlineStr"/>
      <c r="E11" t="inlineStr"/>
      <c r="F11" t="inlineStr">
        <is>
          <t>Sagar Satpute</t>
        </is>
      </c>
      <c r="G11" t="inlineStr">
        <is>
          <t>Closed without action</t>
        </is>
      </c>
      <c r="H11" t="inlineStr"/>
      <c r="I11" t="inlineStr">
        <is>
          <t>P3</t>
        </is>
      </c>
      <c r="J11" s="29" t="n">
        <v>46027</v>
      </c>
      <c r="L11" s="29" t="n">
        <v>46058</v>
      </c>
      <c r="M11" t="inlineStr">
        <is>
          <t>sprint-Arthur</t>
        </is>
      </c>
      <c r="N11" s="11" t="n">
        <v>0</v>
      </c>
      <c r="O11" s="11" t="n">
        <v>0</v>
      </c>
      <c r="P11" t="inlineStr">
        <is>
          <t>FILTER</t>
        </is>
      </c>
      <c r="Q11" t="inlineStr">
        <is>
          <t>unplanned-sprint</t>
        </is>
      </c>
      <c r="R11" t="inlineStr"/>
      <c r="S11" t="inlineStr"/>
    </row>
    <row r="12">
      <c r="A12" t="inlineStr">
        <is>
          <t>Task</t>
        </is>
      </c>
      <c r="B12" s="28" t="inlineStr">
        <is>
          <t>FDSE-112</t>
        </is>
      </c>
      <c r="C12" s="20" t="inlineStr">
        <is>
          <t>Implementation of Button bars as per the design</t>
        </is>
      </c>
      <c r="D12" t="inlineStr">
        <is>
          <t>FDSE-111</t>
        </is>
      </c>
      <c r="E12" t="inlineStr">
        <is>
          <t>Epic</t>
        </is>
      </c>
      <c r="F12" t="inlineStr">
        <is>
          <t>Shailendra Singh</t>
        </is>
      </c>
      <c r="G12" t="inlineStr">
        <is>
          <t>Resolved</t>
        </is>
      </c>
      <c r="H12" t="inlineStr">
        <is>
          <t>Fixed</t>
        </is>
      </c>
      <c r="I12" t="inlineStr">
        <is>
          <t>P3</t>
        </is>
      </c>
      <c r="J12" s="29" t="n">
        <v>45981</v>
      </c>
      <c r="K12" s="29" t="n">
        <v>46062</v>
      </c>
      <c r="L12" s="29" t="n">
        <v>46062</v>
      </c>
      <c r="M12" t="inlineStr">
        <is>
          <t>sprint-Arthur</t>
        </is>
      </c>
      <c r="N12" s="11" t="n">
        <v>24</v>
      </c>
      <c r="O12" s="11" t="n">
        <v>20</v>
      </c>
      <c r="P12" t="inlineStr">
        <is>
          <t>FDSE</t>
        </is>
      </c>
      <c r="Q12" t="inlineStr">
        <is>
          <t>product-filter</t>
        </is>
      </c>
      <c r="R12" t="inlineStr"/>
      <c r="S12" t="inlineStr"/>
    </row>
    <row r="13">
      <c r="A13" t="inlineStr">
        <is>
          <t>Task</t>
        </is>
      </c>
      <c r="B13" s="28" t="inlineStr">
        <is>
          <t>FDSE-148</t>
        </is>
      </c>
      <c r="C13" s="20" t="inlineStr">
        <is>
          <t>Checkbox implementation with new design changes</t>
        </is>
      </c>
      <c r="D13" t="inlineStr">
        <is>
          <t>FDSE-54</t>
        </is>
      </c>
      <c r="E13" t="inlineStr">
        <is>
          <t>Epic</t>
        </is>
      </c>
      <c r="F13" t="inlineStr">
        <is>
          <t>Shailendra Singh</t>
        </is>
      </c>
      <c r="G13" t="inlineStr">
        <is>
          <t>Resolved</t>
        </is>
      </c>
      <c r="H13" t="inlineStr">
        <is>
          <t>Fixed</t>
        </is>
      </c>
      <c r="I13" t="inlineStr">
        <is>
          <t>P3</t>
        </is>
      </c>
      <c r="J13" s="29" t="n">
        <v>46041</v>
      </c>
      <c r="K13" s="29" t="n">
        <v>46054</v>
      </c>
      <c r="L13" s="29" t="n">
        <v>46055</v>
      </c>
      <c r="M13" t="inlineStr">
        <is>
          <t>sprint-Arthur</t>
        </is>
      </c>
      <c r="N13" s="11" t="n">
        <v>32</v>
      </c>
      <c r="O13" s="11" t="n">
        <v>16</v>
      </c>
      <c r="P13" t="inlineStr">
        <is>
          <t>FDSE</t>
        </is>
      </c>
      <c r="Q13" t="inlineStr">
        <is>
          <t>product-filter</t>
        </is>
      </c>
      <c r="R13" t="inlineStr"/>
      <c r="S13" t="inlineStr"/>
    </row>
    <row r="14">
      <c r="A14" t="inlineStr">
        <is>
          <t>Task</t>
        </is>
      </c>
      <c r="B14" s="28" t="inlineStr">
        <is>
          <t>FDSE-138</t>
        </is>
      </c>
      <c r="C14" s="20" t="inlineStr">
        <is>
          <t>Implement Time range as well in the existing date picker component</t>
        </is>
      </c>
      <c r="D14" t="inlineStr">
        <is>
          <t>FDSE-102</t>
        </is>
      </c>
      <c r="E14" t="inlineStr">
        <is>
          <t>Epic</t>
        </is>
      </c>
      <c r="F14" t="inlineStr">
        <is>
          <t>Swaroop Chavhan</t>
        </is>
      </c>
      <c r="G14" t="inlineStr">
        <is>
          <t>Open</t>
        </is>
      </c>
      <c r="H14" t="inlineStr"/>
      <c r="I14" t="inlineStr">
        <is>
          <t>P3</t>
        </is>
      </c>
      <c r="J14" s="29" t="n">
        <v>46000</v>
      </c>
      <c r="L14" s="29" t="n">
        <v>46140</v>
      </c>
      <c r="M14" t="inlineStr">
        <is>
          <t>sprint-Arthur</t>
        </is>
      </c>
      <c r="N14" s="11" t="n">
        <v>0</v>
      </c>
      <c r="O14" s="11" t="n">
        <v>24</v>
      </c>
      <c r="P14" t="inlineStr">
        <is>
          <t>FDSE</t>
        </is>
      </c>
      <c r="Q14" t="inlineStr"/>
      <c r="R14" t="inlineStr"/>
      <c r="S14" t="inlineStr"/>
    </row>
  </sheetData>
  <autoFilter ref="A1:S1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S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4" customWidth="1" min="19" max="19"/>
  </cols>
  <sheetData>
    <row r="1">
      <c r="A1" s="17" t="inlineStr">
        <is>
          <t>P1 Escalation — FILTER · sprint-Arthur (2026-01-06 → 2026-01-19)</t>
        </is>
      </c>
    </row>
    <row r="2">
      <c r="A2" s="30" t="inlineStr">
        <is>
          <t>sprint-Arthur tickets where Issue Type = Escape Defect AND Priority = P1 AND summary contains 'P1 Escalation' (regardless of bucket). Total = 9.</t>
        </is>
      </c>
    </row>
    <row r="4">
      <c r="A4" s="31" t="inlineStr">
        <is>
          <t>Issue Type</t>
        </is>
      </c>
      <c r="B4" s="31" t="inlineStr">
        <is>
          <t>Issue key</t>
        </is>
      </c>
      <c r="C4" s="31" t="inlineStr">
        <is>
          <t>Summary</t>
        </is>
      </c>
      <c r="D4" s="31" t="inlineStr">
        <is>
          <t>Parent key</t>
        </is>
      </c>
      <c r="E4" s="31" t="inlineStr">
        <is>
          <t>Parent type</t>
        </is>
      </c>
      <c r="F4" s="31" t="inlineStr">
        <is>
          <t>Assignee</t>
        </is>
      </c>
      <c r="G4" s="31" t="inlineStr">
        <is>
          <t>Status</t>
        </is>
      </c>
      <c r="H4" s="31" t="inlineStr">
        <is>
          <t>Resolution</t>
        </is>
      </c>
      <c r="I4" s="31" t="inlineStr">
        <is>
          <t>Priority</t>
        </is>
      </c>
      <c r="J4" s="31" t="inlineStr">
        <is>
          <t>Created</t>
        </is>
      </c>
      <c r="K4" s="31" t="inlineStr">
        <is>
          <t>Resolved</t>
        </is>
      </c>
      <c r="L4" s="31" t="inlineStr">
        <is>
          <t>Updated</t>
        </is>
      </c>
      <c r="M4" s="31" t="inlineStr">
        <is>
          <t>Sprint</t>
        </is>
      </c>
      <c r="N4" s="31" t="inlineStr">
        <is>
          <t>Time Spent</t>
        </is>
      </c>
      <c r="O4" s="31" t="inlineStr">
        <is>
          <t>Original Est</t>
        </is>
      </c>
      <c r="P4" s="31" t="inlineStr">
        <is>
          <t>Project</t>
        </is>
      </c>
      <c r="Q4" s="31" t="inlineStr">
        <is>
          <t>Labels</t>
        </is>
      </c>
      <c r="R4" s="31" t="inlineStr">
        <is>
          <t>Blockers</t>
        </is>
      </c>
      <c r="S4" s="31" t="inlineStr">
        <is>
          <t>Bucket</t>
        </is>
      </c>
    </row>
    <row r="5">
      <c r="A5" t="inlineStr">
        <is>
          <t>Escape Defect</t>
        </is>
      </c>
      <c r="B5" s="28" t="inlineStr">
        <is>
          <t>FILTER-10237</t>
        </is>
      </c>
      <c r="C5" s="20" t="inlineStr">
        <is>
          <t>P1 escalation-Crextn-specific Bypass using upgraded credentials</t>
        </is>
      </c>
      <c r="D5" t="inlineStr"/>
      <c r="E5" t="inlineStr"/>
      <c r="F5" t="inlineStr">
        <is>
          <t>Ashish Modak</t>
        </is>
      </c>
      <c r="G5" t="inlineStr">
        <is>
          <t>Release in Progress</t>
        </is>
      </c>
      <c r="H5" t="inlineStr">
        <is>
          <t>Fixed</t>
        </is>
      </c>
      <c r="I5" t="inlineStr">
        <is>
          <t>P1</t>
        </is>
      </c>
      <c r="J5" s="29" t="n">
        <v>45926</v>
      </c>
      <c r="K5" s="29" t="n">
        <v>45981</v>
      </c>
      <c r="L5" s="29" t="n">
        <v>46056</v>
      </c>
      <c r="M5" t="inlineStr">
        <is>
          <t>sprint-Arthur</t>
        </is>
      </c>
      <c r="N5" s="11" t="n">
        <v>6</v>
      </c>
      <c r="O5" s="11" t="n">
        <v>6</v>
      </c>
      <c r="P5" t="inlineStr">
        <is>
          <t>FILTER</t>
        </is>
      </c>
      <c r="Q5" t="inlineStr">
        <is>
          <t>Reverified-2025, jira_added, jira_backlog, jira_escalated, jira_in_progress, p1escalation, unplanned-sprint</t>
        </is>
      </c>
      <c r="R5" t="inlineStr"/>
      <c r="S5" t="inlineStr">
        <is>
          <t>Completed</t>
        </is>
      </c>
    </row>
    <row r="6">
      <c r="A6" t="inlineStr">
        <is>
          <t>Escape Defect</t>
        </is>
      </c>
      <c r="B6" s="28" t="inlineStr">
        <is>
          <t>FILTER-7871</t>
        </is>
      </c>
      <c r="C6" s="20" t="inlineStr">
        <is>
          <t>P1 Escalation-Shortcut SmartPAC bypass; --user-agent | Seattleschools</t>
        </is>
      </c>
      <c r="D6" t="inlineStr"/>
      <c r="E6" t="inlineStr"/>
      <c r="F6" t="inlineStr">
        <is>
          <t>Ashish Temurnikar</t>
        </is>
      </c>
      <c r="G6" t="inlineStr">
        <is>
          <t>Closed</t>
        </is>
      </c>
      <c r="H6" t="inlineStr">
        <is>
          <t>Expected behavior</t>
        </is>
      </c>
      <c r="I6" t="inlineStr">
        <is>
          <t>P1</t>
        </is>
      </c>
      <c r="J6" s="29" t="n">
        <v>45758</v>
      </c>
      <c r="K6" s="29" t="n">
        <v>46041</v>
      </c>
      <c r="L6" s="29" t="n">
        <v>46062</v>
      </c>
      <c r="M6" t="inlineStr">
        <is>
          <t>sprint-Arthur</t>
        </is>
      </c>
      <c r="N6" s="11" t="n">
        <v>0</v>
      </c>
      <c r="O6" s="11" t="n">
        <v>0</v>
      </c>
      <c r="P6" t="inlineStr">
        <is>
          <t>FILTER</t>
        </is>
      </c>
      <c r="Q6" t="inlineStr">
        <is>
          <t>Reverified-2026, jira_added, jira_backlog, jira_closed_notify, jira_escalated, jira_in_progress, jira_open, jira_reopened, p1escalation, unplanned-sprint</t>
        </is>
      </c>
      <c r="R6" t="inlineStr"/>
      <c r="S6" t="inlineStr">
        <is>
          <t>Removed</t>
        </is>
      </c>
    </row>
    <row r="7">
      <c r="A7" t="inlineStr">
        <is>
          <t>Escape Defect</t>
        </is>
      </c>
      <c r="B7" s="28" t="inlineStr">
        <is>
          <t>FILTER-11365</t>
        </is>
      </c>
      <c r="C7" s="20" t="inlineStr">
        <is>
          <t>P1 Escalation-Activity Page is not loading for Portland Public Schools (OR)</t>
        </is>
      </c>
      <c r="D7" t="inlineStr"/>
      <c r="E7" t="inlineStr"/>
      <c r="F7" t="inlineStr">
        <is>
          <t>Nicolas Lemaitre</t>
        </is>
      </c>
      <c r="G7" t="inlineStr">
        <is>
          <t>Closed</t>
        </is>
      </c>
      <c r="H7" t="inlineStr">
        <is>
          <t>Fixed</t>
        </is>
      </c>
      <c r="I7" t="inlineStr">
        <is>
          <t>P1</t>
        </is>
      </c>
      <c r="J7" s="29" t="n">
        <v>45999</v>
      </c>
      <c r="K7" s="29" t="n">
        <v>46035</v>
      </c>
      <c r="L7" s="29" t="n">
        <v>46035</v>
      </c>
      <c r="M7" t="inlineStr">
        <is>
          <t>sprint-Arthur</t>
        </is>
      </c>
      <c r="N7" s="11" t="n">
        <v>0</v>
      </c>
      <c r="O7" s="11" t="n">
        <v>0</v>
      </c>
      <c r="P7" t="inlineStr">
        <is>
          <t>FILTER</t>
        </is>
      </c>
      <c r="Q7" t="inlineStr">
        <is>
          <t>Reverified-2025, jira_added, jira_backlog, jira_closed_notify, jira_escalated, jira_in_progress, p1escalation, unplanned-sprint, zendesk_org_at_risk</t>
        </is>
      </c>
      <c r="R7" t="inlineStr"/>
      <c r="S7" t="inlineStr">
        <is>
          <t>Completed</t>
        </is>
      </c>
    </row>
    <row r="8">
      <c r="A8" t="inlineStr">
        <is>
          <t>Escape Defect</t>
        </is>
      </c>
      <c r="B8" s="28" t="inlineStr">
        <is>
          <t>FILTER-10392</t>
        </is>
      </c>
      <c r="C8" s="20" t="inlineStr">
        <is>
          <t>P1 Escalation-YouTube Videos play in Gmail even when blocked in policy | Downingtown</t>
        </is>
      </c>
      <c r="D8" t="inlineStr"/>
      <c r="E8" t="inlineStr"/>
      <c r="F8" t="inlineStr">
        <is>
          <t>Shashank Tiwari</t>
        </is>
      </c>
      <c r="G8" t="inlineStr">
        <is>
          <t>Done</t>
        </is>
      </c>
      <c r="H8" t="inlineStr">
        <is>
          <t>Fixed</t>
        </is>
      </c>
      <c r="I8" t="inlineStr">
        <is>
          <t>P1</t>
        </is>
      </c>
      <c r="J8" s="29" t="n">
        <v>45940</v>
      </c>
      <c r="K8" s="29" t="n">
        <v>46063</v>
      </c>
      <c r="L8" s="29" t="n">
        <v>46119</v>
      </c>
      <c r="M8" t="inlineStr">
        <is>
          <t>sprint-Arthur</t>
        </is>
      </c>
      <c r="N8" s="11" t="n">
        <v>16</v>
      </c>
      <c r="O8" s="11" t="n">
        <v>16</v>
      </c>
      <c r="P8" t="inlineStr">
        <is>
          <t>FILTER</t>
        </is>
      </c>
      <c r="Q8" t="inlineStr">
        <is>
          <t>Reverified-2025, jira_added, jira_backlog, jira_closed_notify, jira_escalated, jira_in_progress, jira_qa_verified, jira_reopened, p1escalation, unplanned-sprint</t>
        </is>
      </c>
      <c r="R8" t="inlineStr"/>
      <c r="S8" t="inlineStr">
        <is>
          <t>Removed</t>
        </is>
      </c>
    </row>
    <row r="9">
      <c r="A9" t="inlineStr">
        <is>
          <t>Escape Defect</t>
        </is>
      </c>
      <c r="B9" s="28" t="inlineStr">
        <is>
          <t>FILTER-11047</t>
        </is>
      </c>
      <c r="C9" s="20" t="inlineStr">
        <is>
          <t>P1 Escalation-Filter bypass using Chrome://chrome-signin | Edmonds</t>
        </is>
      </c>
      <c r="D9" t="inlineStr"/>
      <c r="E9" t="inlineStr"/>
      <c r="F9" t="inlineStr">
        <is>
          <t>Shashank Tiwari</t>
        </is>
      </c>
      <c r="G9" t="inlineStr">
        <is>
          <t>Done</t>
        </is>
      </c>
      <c r="H9" t="inlineStr">
        <is>
          <t>Fixed</t>
        </is>
      </c>
      <c r="I9" t="inlineStr">
        <is>
          <t>P1</t>
        </is>
      </c>
      <c r="J9" s="29" t="n">
        <v>45987</v>
      </c>
      <c r="K9" s="29" t="n">
        <v>46049</v>
      </c>
      <c r="L9" s="29" t="n">
        <v>46132</v>
      </c>
      <c r="M9" t="inlineStr">
        <is>
          <t>sprint-Arthur</t>
        </is>
      </c>
      <c r="N9" s="11" t="n">
        <v>17</v>
      </c>
      <c r="O9" s="11" t="n">
        <v>0</v>
      </c>
      <c r="P9" t="inlineStr">
        <is>
          <t>FILTER</t>
        </is>
      </c>
      <c r="Q9" t="inlineStr">
        <is>
          <t>Reverified-2025, jira_added, jira_backlog, jira_closed_notify, jira_done, jira_escalated, jira_in_progress, jira_open, jira_qa_verified, p1escalation</t>
        </is>
      </c>
      <c r="R9" t="inlineStr"/>
      <c r="S9" t="inlineStr">
        <is>
          <t>Removed</t>
        </is>
      </c>
    </row>
    <row r="10">
      <c r="A10" t="inlineStr">
        <is>
          <t>Escape Defect</t>
        </is>
      </c>
      <c r="B10" s="28" t="inlineStr">
        <is>
          <t>FILTER-11443</t>
        </is>
      </c>
      <c r="C10" s="20" t="inlineStr">
        <is>
          <t>P1 Escalation-Chrome extension bypass using Omada DNS</t>
        </is>
      </c>
      <c r="D10" t="inlineStr"/>
      <c r="E10" t="inlineStr"/>
      <c r="F10" t="inlineStr">
        <is>
          <t>Shashank Tiwari</t>
        </is>
      </c>
      <c r="G10" t="inlineStr">
        <is>
          <t>Done</t>
        </is>
      </c>
      <c r="H10" t="inlineStr">
        <is>
          <t>Fixed</t>
        </is>
      </c>
      <c r="I10" t="inlineStr">
        <is>
          <t>P1</t>
        </is>
      </c>
      <c r="J10" s="29" t="n">
        <v>46006</v>
      </c>
      <c r="K10" s="29" t="n">
        <v>46043</v>
      </c>
      <c r="L10" s="29" t="n">
        <v>46119</v>
      </c>
      <c r="M10" t="inlineStr">
        <is>
          <t>sprint-Arthur</t>
        </is>
      </c>
      <c r="N10" s="11" t="n">
        <v>16</v>
      </c>
      <c r="O10" s="11" t="n">
        <v>16</v>
      </c>
      <c r="P10" t="inlineStr">
        <is>
          <t>FILTER</t>
        </is>
      </c>
      <c r="Q10" t="inlineStr">
        <is>
          <t>jira_added, jira_closed_notify, jira_done, jira_escalated, jira_p1, zendesk_enterprise</t>
        </is>
      </c>
      <c r="R10" t="inlineStr"/>
      <c r="S10" t="inlineStr">
        <is>
          <t>Removed</t>
        </is>
      </c>
    </row>
    <row r="11">
      <c r="A11" t="inlineStr">
        <is>
          <t>Escape Defect</t>
        </is>
      </c>
      <c r="B11" s="28" t="inlineStr">
        <is>
          <t>FILTER-11557</t>
        </is>
      </c>
      <c r="C11" s="20" t="inlineStr">
        <is>
          <t>P1 Escalation-Copy &amp; Paste movie script into search bar breaks extension</t>
        </is>
      </c>
      <c r="D11" t="inlineStr"/>
      <c r="E11" t="inlineStr"/>
      <c r="F11" t="inlineStr">
        <is>
          <t>Shashank Tiwari</t>
        </is>
      </c>
      <c r="G11" t="inlineStr">
        <is>
          <t>Done</t>
        </is>
      </c>
      <c r="H11" t="inlineStr">
        <is>
          <t>Fixed</t>
        </is>
      </c>
      <c r="I11" t="inlineStr">
        <is>
          <t>P1</t>
        </is>
      </c>
      <c r="J11" s="29" t="n">
        <v>46013</v>
      </c>
      <c r="K11" s="29" t="n">
        <v>46038</v>
      </c>
      <c r="L11" s="29" t="n">
        <v>46119</v>
      </c>
      <c r="M11" t="inlineStr">
        <is>
          <t>sprint-Arthur</t>
        </is>
      </c>
      <c r="N11" s="11" t="n">
        <v>10</v>
      </c>
      <c r="O11" s="11" t="n">
        <v>12</v>
      </c>
      <c r="P11" t="inlineStr">
        <is>
          <t>FILTER</t>
        </is>
      </c>
      <c r="Q11" t="inlineStr">
        <is>
          <t>Reverified-2026, jira_added, jira_backlog, jira_done, jira_escalated, jira_in_progress, jira_open, jira_p1, jira_qa_verified, jira_reopened, p1escalation, unplanned-sprint</t>
        </is>
      </c>
      <c r="R11" t="inlineStr"/>
      <c r="S11" t="inlineStr">
        <is>
          <t>Removed</t>
        </is>
      </c>
    </row>
    <row r="12">
      <c r="A12" t="inlineStr">
        <is>
          <t>Escape Defect</t>
        </is>
      </c>
      <c r="B12" s="28" t="inlineStr">
        <is>
          <t>FILTER-11680</t>
        </is>
      </c>
      <c r="C12" s="20" t="inlineStr">
        <is>
          <t>P1 Escalation-[PageScan] SPAC Changes for better coverage</t>
        </is>
      </c>
      <c r="D12" t="inlineStr"/>
      <c r="E12" t="inlineStr"/>
      <c r="F12" t="inlineStr">
        <is>
          <t>Shashank Tiwari</t>
        </is>
      </c>
      <c r="G12" t="inlineStr">
        <is>
          <t>Done</t>
        </is>
      </c>
      <c r="H12" t="inlineStr">
        <is>
          <t>Fixed</t>
        </is>
      </c>
      <c r="I12" t="inlineStr">
        <is>
          <t>P1</t>
        </is>
      </c>
      <c r="J12" s="29" t="n">
        <v>46038</v>
      </c>
      <c r="K12" s="29" t="n">
        <v>46043</v>
      </c>
      <c r="L12" s="29" t="n">
        <v>46090</v>
      </c>
      <c r="M12" t="inlineStr">
        <is>
          <t>sprint-Arthur</t>
        </is>
      </c>
      <c r="N12" s="11" t="n">
        <v>14</v>
      </c>
      <c r="O12" s="11" t="n">
        <v>0</v>
      </c>
      <c r="P12" t="inlineStr">
        <is>
          <t>FILTER</t>
        </is>
      </c>
      <c r="Q12" t="inlineStr">
        <is>
          <t>Reverified-2026, p1escalation, unplanned-sprint</t>
        </is>
      </c>
      <c r="R12" t="inlineStr"/>
      <c r="S12" t="inlineStr">
        <is>
          <t>Removed</t>
        </is>
      </c>
    </row>
    <row r="13">
      <c r="A13" t="inlineStr">
        <is>
          <t>Escape Defect</t>
        </is>
      </c>
      <c r="B13" s="28" t="inlineStr">
        <is>
          <t>FILTER-6563</t>
        </is>
      </c>
      <c r="C13" s="20" t="inlineStr">
        <is>
          <t xml:space="preserve">P1 Escalation-Adjust Filter UI for high Rez monitors </t>
        </is>
      </c>
      <c r="D13" t="inlineStr"/>
      <c r="E13" t="inlineStr"/>
      <c r="F13" t="inlineStr">
        <is>
          <t>Shashank Tiwari</t>
        </is>
      </c>
      <c r="G13" t="inlineStr">
        <is>
          <t>Done</t>
        </is>
      </c>
      <c r="H13" t="inlineStr">
        <is>
          <t>Fixed</t>
        </is>
      </c>
      <c r="I13" t="inlineStr">
        <is>
          <t>P1</t>
        </is>
      </c>
      <c r="J13" s="29" t="n">
        <v>45643</v>
      </c>
      <c r="K13" s="29" t="n">
        <v>46013</v>
      </c>
      <c r="L13" s="29" t="n">
        <v>46090</v>
      </c>
      <c r="M13" t="inlineStr">
        <is>
          <t>sprint-Arthur</t>
        </is>
      </c>
      <c r="N13" s="11" t="n">
        <v>5</v>
      </c>
      <c r="O13" s="11" t="n">
        <v>16</v>
      </c>
      <c r="P13" t="inlineStr">
        <is>
          <t>FILTER</t>
        </is>
      </c>
      <c r="Q13" t="inlineStr">
        <is>
          <t>jira_added, jira_escalated, jira_open, jira_qa_verified, p1escalation, unplanned-sprint, zendesk_org_at_risk</t>
        </is>
      </c>
      <c r="R13" t="inlineStr"/>
      <c r="S13" t="inlineStr">
        <is>
          <t>Completed</t>
        </is>
      </c>
    </row>
  </sheetData>
  <autoFilter ref="A4:S13"/>
  <mergeCells count="2">
    <mergeCell ref="A2:R2"/>
    <mergeCell ref="A1:R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2026-04-29T03:03:15Z</dcterms:created>
  <dcterms:modified xsi:type="dcterms:W3CDTF">2026-04-29T03:03:16Z</dcterms:modified>
</cp:coreProperties>
</file>