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pacity vs Delivery" sheetId="1" state="visible" r:id="rId1"/>
    <sheet name="Per-person Delivery" sheetId="2" state="visible" r:id="rId2"/>
    <sheet name="Completed" sheetId="3" state="visible" r:id="rId3"/>
    <sheet name="Not Completed" sheetId="4" state="visible" r:id="rId4"/>
    <sheet name="Removed" sheetId="5" state="visible" r:id="rId5"/>
    <sheet name="P1 Escalation" sheetId="6" state="visible" r:id="rId6"/>
  </sheets>
  <definedNames>
    <definedName name="_xlnm._FilterDatabase" localSheetId="2" hidden="1">'Completed'!$A$1:$S$51</definedName>
    <definedName name="_xlnm._FilterDatabase" localSheetId="3" hidden="1">'Not Completed'!$A$1:$S$3</definedName>
    <definedName name="_xlnm._FilterDatabase" localSheetId="4" hidden="1">'Removed'!$A$1:$S$8</definedName>
    <definedName name="_xlnm._FilterDatabase" localSheetId="5" hidden="1">'P1 Escalation'!$A$4:$S$9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0.0"/>
    <numFmt numFmtId="165" formatCode="0.0%"/>
    <numFmt numFmtId="166" formatCode="yyyy-mm-dd h:mm:ss"/>
    <numFmt numFmtId="167" formatCode="yyyy-mm-dd"/>
  </numFmts>
  <fonts count="12">
    <font>
      <name val="Calibri"/>
      <family val="2"/>
      <color theme="1"/>
      <sz val="11"/>
      <scheme val="minor"/>
    </font>
    <font>
      <b val="1"/>
      <sz val="14"/>
    </font>
    <font>
      <b val="1"/>
    </font>
    <font>
      <i val="1"/>
      <color rgb="FF555555"/>
    </font>
    <font>
      <b val="1"/>
      <color rgb="FFC00000"/>
    </font>
    <font>
      <b val="1"/>
      <color rgb="FF006100"/>
    </font>
    <font>
      <b val="1"/>
      <color rgb="FFC00000"/>
      <sz val="14"/>
    </font>
    <font>
      <b val="1"/>
      <color rgb="FF7F6000"/>
      <sz val="12"/>
    </font>
    <font>
      <b val="1"/>
      <color rgb="FF7F6000"/>
    </font>
    <font>
      <color rgb="000563C1"/>
      <u val="single"/>
    </font>
    <font>
      <i val="1"/>
    </font>
    <font>
      <b val="1"/>
      <color rgb="FFFFFFFF"/>
      <sz val="12"/>
    </font>
  </fonts>
  <fills count="8">
    <fill>
      <patternFill/>
    </fill>
    <fill>
      <patternFill patternType="gray125"/>
    </fill>
    <fill>
      <patternFill patternType="solid">
        <fgColor rgb="FFD9E1F2"/>
      </patternFill>
    </fill>
    <fill>
      <patternFill patternType="solid">
        <fgColor rgb="FFFFEB9C"/>
      </patternFill>
    </fill>
    <fill>
      <patternFill patternType="solid">
        <fgColor rgb="FFC6EFCE"/>
      </patternFill>
    </fill>
    <fill>
      <patternFill patternType="solid">
        <fgColor rgb="FFFFF2CC"/>
      </patternFill>
    </fill>
    <fill>
      <patternFill patternType="solid">
        <fgColor rgb="FFC00000"/>
      </patternFill>
    </fill>
    <fill>
      <patternFill patternType="solid">
        <fgColor rgb="FFFFE5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2" borderId="0" pivotButton="0" quotePrefix="0" xfId="0"/>
    <xf numFmtId="164" fontId="0" fillId="0" borderId="0" pivotButton="0" quotePrefix="0" xfId="0"/>
    <xf numFmtId="1" fontId="0" fillId="3" borderId="0" pivotButton="0" quotePrefix="0" xfId="0"/>
    <xf numFmtId="1" fontId="0" fillId="0" borderId="0" pivotButton="0" quotePrefix="0" xfId="0"/>
    <xf numFmtId="2" fontId="0" fillId="3" borderId="0" pivotButton="0" quotePrefix="0" xfId="0"/>
    <xf numFmtId="165" fontId="0" fillId="3" borderId="0" pivotButton="0" quotePrefix="0" xfId="0"/>
    <xf numFmtId="2" fontId="0" fillId="0" borderId="0" pivotButton="0" quotePrefix="0" xfId="0"/>
    <xf numFmtId="165" fontId="0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0" borderId="0" pivotButton="0" quotePrefix="0" xfId="0"/>
    <xf numFmtId="0" fontId="5" fillId="4" borderId="0" pivotButton="0" quotePrefix="0" xfId="0"/>
    <xf numFmtId="0" fontId="0" fillId="0" borderId="0" applyAlignment="1" pivotButton="0" quotePrefix="0" xfId="0">
      <alignment wrapText="1"/>
    </xf>
    <xf numFmtId="0" fontId="6" fillId="0" borderId="0" pivotButton="0" quotePrefix="0" xfId="0"/>
    <xf numFmtId="0" fontId="7" fillId="0" borderId="0" pivotButton="0" quotePrefix="0" xfId="0"/>
    <xf numFmtId="0" fontId="8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2" borderId="0" applyAlignment="1" pivotButton="0" quotePrefix="0" xfId="0">
      <alignment vertical="center" wrapText="1"/>
    </xf>
    <xf numFmtId="0" fontId="0" fillId="5" borderId="0" pivotButton="0" quotePrefix="0" xfId="0"/>
    <xf numFmtId="0" fontId="9" fillId="5" borderId="0" pivotButton="0" quotePrefix="0" xfId="0"/>
    <xf numFmtId="0" fontId="0" fillId="5" borderId="0" applyAlignment="1" pivotButton="0" quotePrefix="0" xfId="0">
      <alignment vertical="top" wrapText="1"/>
    </xf>
    <xf numFmtId="167" fontId="0" fillId="5" borderId="0" pivotButton="0" quotePrefix="0" xfId="0"/>
    <xf numFmtId="2" fontId="0" fillId="5" borderId="0" pivotButton="0" quotePrefix="0" xfId="0"/>
    <xf numFmtId="0" fontId="8" fillId="5" borderId="0" pivotButton="0" quotePrefix="0" xfId="0"/>
    <xf numFmtId="0" fontId="9" fillId="0" borderId="0" pivotButton="0" quotePrefix="0" xfId="0"/>
    <xf numFmtId="167" fontId="0" fillId="0" borderId="0" pivotButton="0" quotePrefix="0" xfId="0"/>
    <xf numFmtId="0" fontId="10" fillId="0" borderId="0" pivotButton="0" quotePrefix="0" xfId="0"/>
    <xf numFmtId="0" fontId="11" fillId="6" borderId="0" pivotButton="0" quotePrefix="0" xfId="0"/>
    <xf numFmtId="0" fontId="0" fillId="7" borderId="0" pivotButton="0" quotePrefix="0" xfId="0"/>
    <xf numFmtId="0" fontId="9" fillId="7" borderId="0" pivotButton="0" quotePrefix="0" xfId="0"/>
    <xf numFmtId="0" fontId="0" fillId="7" borderId="0" applyAlignment="1" pivotButton="0" quotePrefix="0" xfId="0">
      <alignment vertical="top" wrapText="1"/>
    </xf>
    <xf numFmtId="167" fontId="0" fillId="7" borderId="0" pivotButton="0" quotePrefix="0" xfId="0"/>
    <xf numFmtId="2" fontId="0" fillId="7" borderId="0" pivotButton="0" quotePrefix="0" xfId="0"/>
    <xf numFmtId="0" fontId="4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hyperlink" Target="https://securly.atlassian.net/browse/FILTER-12250" TargetMode="External" Id="rId1" /><Relationship Type="http://schemas.openxmlformats.org/officeDocument/2006/relationships/hyperlink" Target="https://securly.atlassian.net/browse/FILTER-12016" TargetMode="External" Id="rId2" /><Relationship Type="http://schemas.openxmlformats.org/officeDocument/2006/relationships/hyperlink" Target="https://securly.atlassian.net/browse/FILTER-12130" TargetMode="External" Id="rId3" /><Relationship Type="http://schemas.openxmlformats.org/officeDocument/2006/relationships/hyperlink" Target="https://securly.atlassian.net/browse/FILTER-12131" TargetMode="External" Id="rId4" /><Relationship Type="http://schemas.openxmlformats.org/officeDocument/2006/relationships/hyperlink" Target="https://securly.atlassian.net/browse/FILTER-12135" TargetMode="External" Id="rId5" /><Relationship Type="http://schemas.openxmlformats.org/officeDocument/2006/relationships/hyperlink" Target="https://securly.atlassian.net/browse/FILTER-12309" TargetMode="External" Id="rId6" /><Relationship Type="http://schemas.openxmlformats.org/officeDocument/2006/relationships/hyperlink" Target="https://securly.atlassian.net/browse/FILTER-12302" TargetMode="External" Id="rId7" /><Relationship Type="http://schemas.openxmlformats.org/officeDocument/2006/relationships/hyperlink" Target="https://securly.atlassian.net/browse/FILTER-12303" TargetMode="External" Id="rId8" /><Relationship Type="http://schemas.openxmlformats.org/officeDocument/2006/relationships/hyperlink" Target="https://securly.atlassian.net/browse/FILTER-12070" TargetMode="External" Id="rId9" /><Relationship Type="http://schemas.openxmlformats.org/officeDocument/2006/relationships/hyperlink" Target="https://securly.atlassian.net/browse/FILTER-12318" TargetMode="External" Id="rId10" /><Relationship Type="http://schemas.openxmlformats.org/officeDocument/2006/relationships/hyperlink" Target="https://securly.atlassian.net/browse/FDSE-161" TargetMode="External" Id="rId11" /><Relationship Type="http://schemas.openxmlformats.org/officeDocument/2006/relationships/hyperlink" Target="https://securly.atlassian.net/browse/FILTER-12146" TargetMode="External" Id="rId12" /><Relationship Type="http://schemas.openxmlformats.org/officeDocument/2006/relationships/hyperlink" Target="https://securly.atlassian.net/browse/FILTER-12129" TargetMode="External" Id="rId13" /><Relationship Type="http://schemas.openxmlformats.org/officeDocument/2006/relationships/hyperlink" Target="https://securly.atlassian.net/browse/FILTER-12030" TargetMode="External" Id="rId14" /><Relationship Type="http://schemas.openxmlformats.org/officeDocument/2006/relationships/hyperlink" Target="https://securly.atlassian.net/browse/FILTER-11158" TargetMode="External" Id="rId15" /><Relationship Type="http://schemas.openxmlformats.org/officeDocument/2006/relationships/hyperlink" Target="https://securly.atlassian.net/browse/FILTER-11205" TargetMode="External" Id="rId16" /><Relationship Type="http://schemas.openxmlformats.org/officeDocument/2006/relationships/hyperlink" Target="https://securly.atlassian.net/browse/FILTER-11174" TargetMode="External" Id="rId17" /><Relationship Type="http://schemas.openxmlformats.org/officeDocument/2006/relationships/hyperlink" Target="https://securly.atlassian.net/browse/FILTER-12043" TargetMode="External" Id="rId18" /><Relationship Type="http://schemas.openxmlformats.org/officeDocument/2006/relationships/hyperlink" Target="https://securly.atlassian.net/browse/FILTER-12044" TargetMode="External" Id="rId19" /><Relationship Type="http://schemas.openxmlformats.org/officeDocument/2006/relationships/hyperlink" Target="https://securly.atlassian.net/browse/FILTER-12251" TargetMode="External" Id="rId20" /><Relationship Type="http://schemas.openxmlformats.org/officeDocument/2006/relationships/hyperlink" Target="https://securly.atlassian.net/browse/FILTER-12252" TargetMode="External" Id="rId21" /><Relationship Type="http://schemas.openxmlformats.org/officeDocument/2006/relationships/hyperlink" Target="https://securly.atlassian.net/browse/FILTER-12253" TargetMode="External" Id="rId22" /><Relationship Type="http://schemas.openxmlformats.org/officeDocument/2006/relationships/hyperlink" Target="https://securly.atlassian.net/browse/FILTER-11490" TargetMode="External" Id="rId23" /><Relationship Type="http://schemas.openxmlformats.org/officeDocument/2006/relationships/hyperlink" Target="https://securly.atlassian.net/browse/FILTER-11788" TargetMode="External" Id="rId24" /><Relationship Type="http://schemas.openxmlformats.org/officeDocument/2006/relationships/hyperlink" Target="https://securly.atlassian.net/browse/FILTER-12066" TargetMode="External" Id="rId25" /><Relationship Type="http://schemas.openxmlformats.org/officeDocument/2006/relationships/hyperlink" Target="https://securly.atlassian.net/browse/FILTER-11390" TargetMode="External" Id="rId26" /><Relationship Type="http://schemas.openxmlformats.org/officeDocument/2006/relationships/hyperlink" Target="https://securly.atlassian.net/browse/FILTER-11713" TargetMode="External" Id="rId27" /><Relationship Type="http://schemas.openxmlformats.org/officeDocument/2006/relationships/hyperlink" Target="https://securly.atlassian.net/browse/FILTER-11722" TargetMode="External" Id="rId28" /><Relationship Type="http://schemas.openxmlformats.org/officeDocument/2006/relationships/hyperlink" Target="https://securly.atlassian.net/browse/FILTER-11175" TargetMode="External" Id="rId29" /><Relationship Type="http://schemas.openxmlformats.org/officeDocument/2006/relationships/hyperlink" Target="https://securly.atlassian.net/browse/FDSE-162" TargetMode="External" Id="rId30" /><Relationship Type="http://schemas.openxmlformats.org/officeDocument/2006/relationships/hyperlink" Target="https://securly.atlassian.net/browse/FILTER-12050" TargetMode="External" Id="rId31" /><Relationship Type="http://schemas.openxmlformats.org/officeDocument/2006/relationships/hyperlink" Target="https://securly.atlassian.net/browse/FILTER-12051" TargetMode="External" Id="rId32" /><Relationship Type="http://schemas.openxmlformats.org/officeDocument/2006/relationships/hyperlink" Target="https://securly.atlassian.net/browse/FILTER-11979" TargetMode="External" Id="rId33" /><Relationship Type="http://schemas.openxmlformats.org/officeDocument/2006/relationships/hyperlink" Target="https://securly.atlassian.net/browse/FILTER-12112" TargetMode="External" Id="rId34" /><Relationship Type="http://schemas.openxmlformats.org/officeDocument/2006/relationships/hyperlink" Target="https://securly.atlassian.net/browse/FILTER-12075" TargetMode="External" Id="rId35" /><Relationship Type="http://schemas.openxmlformats.org/officeDocument/2006/relationships/hyperlink" Target="https://securly.atlassian.net/browse/FILTER-12320" TargetMode="External" Id="rId36" /><Relationship Type="http://schemas.openxmlformats.org/officeDocument/2006/relationships/hyperlink" Target="https://securly.atlassian.net/browse/FILTER-12073" TargetMode="External" Id="rId37" /><Relationship Type="http://schemas.openxmlformats.org/officeDocument/2006/relationships/hyperlink" Target="https://securly.atlassian.net/browse/FILTER-12243" TargetMode="External" Id="rId38" /><Relationship Type="http://schemas.openxmlformats.org/officeDocument/2006/relationships/hyperlink" Target="https://securly.atlassian.net/browse/FILTER-12322" TargetMode="External" Id="rId39" /><Relationship Type="http://schemas.openxmlformats.org/officeDocument/2006/relationships/hyperlink" Target="https://securly.atlassian.net/browse/FILTER-12029" TargetMode="External" Id="rId40" /><Relationship Type="http://schemas.openxmlformats.org/officeDocument/2006/relationships/hyperlink" Target="https://securly.atlassian.net/browse/FILTER-12314" TargetMode="External" Id="rId41" /><Relationship Type="http://schemas.openxmlformats.org/officeDocument/2006/relationships/hyperlink" Target="https://securly.atlassian.net/browse/FILTER-11159" TargetMode="External" Id="rId42" /><Relationship Type="http://schemas.openxmlformats.org/officeDocument/2006/relationships/hyperlink" Target="https://securly.atlassian.net/browse/FILTER-12077" TargetMode="External" Id="rId43" /><Relationship Type="http://schemas.openxmlformats.org/officeDocument/2006/relationships/hyperlink" Target="https://securly.atlassian.net/browse/FILTER-12261" TargetMode="External" Id="rId44" /><Relationship Type="http://schemas.openxmlformats.org/officeDocument/2006/relationships/hyperlink" Target="https://securly.atlassian.net/browse/FILTER-12375" TargetMode="External" Id="rId45" /><Relationship Type="http://schemas.openxmlformats.org/officeDocument/2006/relationships/hyperlink" Target="https://securly.atlassian.net/browse/FILTER-11544" TargetMode="External" Id="rId46" /><Relationship Type="http://schemas.openxmlformats.org/officeDocument/2006/relationships/hyperlink" Target="https://securly.atlassian.net/browse/FILTER-11832" TargetMode="External" Id="rId47" /><Relationship Type="http://schemas.openxmlformats.org/officeDocument/2006/relationships/hyperlink" Target="https://securly.atlassian.net/browse/FILTER-12260" TargetMode="External" Id="rId48" /><Relationship Type="http://schemas.openxmlformats.org/officeDocument/2006/relationships/hyperlink" Target="https://securly.atlassian.net/browse/PTGM-653" TargetMode="External" Id="rId49" /><Relationship Type="http://schemas.openxmlformats.org/officeDocument/2006/relationships/hyperlink" Target="https://securly.atlassian.net/browse/PTGM-680" TargetMode="External" Id="rId50" /></Relationships>
</file>

<file path=xl/worksheets/_rels/sheet4.xml.rels><Relationships xmlns="http://schemas.openxmlformats.org/package/2006/relationships"><Relationship Type="http://schemas.openxmlformats.org/officeDocument/2006/relationships/hyperlink" Target="https://securly.atlassian.net/browse/FILTER-12052" TargetMode="External" Id="rId1" /><Relationship Type="http://schemas.openxmlformats.org/officeDocument/2006/relationships/hyperlink" Target="https://securly.atlassian.net/browse/FILTER-12240" TargetMode="External" Id="rId2" /></Relationships>
</file>

<file path=xl/worksheets/_rels/sheet5.xml.rels><Relationships xmlns="http://schemas.openxmlformats.org/package/2006/relationships"><Relationship Type="http://schemas.openxmlformats.org/officeDocument/2006/relationships/hyperlink" Target="https://securly.atlassian.net/browse/FDSE-155" TargetMode="External" Id="rId1" /><Relationship Type="http://schemas.openxmlformats.org/officeDocument/2006/relationships/hyperlink" Target="https://securly.atlassian.net/browse/FDSE-164" TargetMode="External" Id="rId2" /><Relationship Type="http://schemas.openxmlformats.org/officeDocument/2006/relationships/hyperlink" Target="https://securly.atlassian.net/browse/FILTER-11974" TargetMode="External" Id="rId3" /><Relationship Type="http://schemas.openxmlformats.org/officeDocument/2006/relationships/hyperlink" Target="https://securly.atlassian.net/browse/FILTER-9853" TargetMode="External" Id="rId4" /><Relationship Type="http://schemas.openxmlformats.org/officeDocument/2006/relationships/hyperlink" Target="https://securly.atlassian.net/browse/FILTER-10604" TargetMode="External" Id="rId5" /><Relationship Type="http://schemas.openxmlformats.org/officeDocument/2006/relationships/hyperlink" Target="https://securly.atlassian.net/browse/FILTER-11697" TargetMode="External" Id="rId6" /><Relationship Type="http://schemas.openxmlformats.org/officeDocument/2006/relationships/hyperlink" Target="https://securly.atlassian.net/browse/FILTER-12010" TargetMode="External" Id="rId7" /></Relationships>
</file>

<file path=xl/worksheets/_rels/sheet6.xml.rels><Relationships xmlns="http://schemas.openxmlformats.org/package/2006/relationships"><Relationship Type="http://schemas.openxmlformats.org/officeDocument/2006/relationships/hyperlink" Target="https://securly.atlassian.net/browse/FILTER-11610" TargetMode="External" Id="rId1" /><Relationship Type="http://schemas.openxmlformats.org/officeDocument/2006/relationships/hyperlink" Target="https://securly.atlassian.net/browse/FILTER-11964" TargetMode="External" Id="rId2" /><Relationship Type="http://schemas.openxmlformats.org/officeDocument/2006/relationships/hyperlink" Target="https://securly.atlassian.net/browse/FILTER-12010" TargetMode="External" Id="rId3" /><Relationship Type="http://schemas.openxmlformats.org/officeDocument/2006/relationships/hyperlink" Target="https://securly.atlassian.net/browse/FILTER-11985" TargetMode="External" Id="rId4" /><Relationship Type="http://schemas.openxmlformats.org/officeDocument/2006/relationships/hyperlink" Target="https://securly.atlassian.net/browse/FILTER-12012" TargetMode="External" Id="rId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9"/>
  <sheetViews>
    <sheetView workbookViewId="0">
      <selection activeCell="A1" sqref="A1"/>
    </sheetView>
  </sheetViews>
  <sheetFormatPr baseColWidth="8" defaultRowHeight="15"/>
  <cols>
    <col width="44" customWidth="1" min="1" max="1"/>
    <col width="14" customWidth="1" min="2" max="2"/>
    <col width="32" customWidth="1" min="3" max="3"/>
    <col width="18" customWidth="1" min="4" max="4"/>
    <col width="14" customWidth="1" min="5" max="5"/>
    <col width="14" customWidth="1" min="6" max="6"/>
    <col width="36" customWidth="1" min="7" max="7"/>
  </cols>
  <sheetData>
    <row r="1">
      <c r="A1" s="1" t="inlineStr">
        <is>
          <t>Capacity vs Delivery — FILTER · sprint-Dolly (Tue 17 Feb → Mon 02 Mar 2026)</t>
        </is>
      </c>
    </row>
    <row r="2">
      <c r="A2" s="2" t="inlineStr">
        <is>
          <t>Team Composition (per Securly-PjM-Skills.md Part 2 — Filter India roster). Inactive members for this sprint window are shaded grey with a roster note.</t>
        </is>
      </c>
    </row>
    <row r="3">
      <c r="A3" s="3" t="inlineStr">
        <is>
          <t>Name</t>
        </is>
      </c>
      <c r="B3" s="3" t="inlineStr">
        <is>
          <t>Role</t>
        </is>
      </c>
      <c r="C3" s="3" t="inlineStr">
        <is>
          <t>Function / Split</t>
        </is>
      </c>
      <c r="D3" s="3" t="inlineStr">
        <is>
          <t>Allocation (FTE)</t>
        </is>
      </c>
      <c r="E3" s="3" t="inlineStr">
        <is>
          <t>Seniority</t>
        </is>
      </c>
      <c r="F3" s="3" t="inlineStr">
        <is>
          <t>Employment</t>
        </is>
      </c>
      <c r="G3" s="3" t="inlineStr">
        <is>
          <t>Notes</t>
        </is>
      </c>
    </row>
    <row r="4">
      <c r="A4" t="inlineStr">
        <is>
          <t>Shashank Tiwari</t>
        </is>
      </c>
      <c r="B4" t="inlineStr">
        <is>
          <t>Project Manager</t>
        </is>
      </c>
      <c r="C4" t="inlineStr">
        <is>
          <t>PM / Delivery</t>
        </is>
      </c>
      <c r="D4" s="4" t="n">
        <v>0</v>
      </c>
      <c r="E4" t="inlineStr">
        <is>
          <t>Lead</t>
        </is>
      </c>
      <c r="F4" t="inlineStr">
        <is>
          <t>FTE</t>
        </is>
      </c>
      <c r="G4" t="inlineStr">
        <is>
          <t>Not counted in delivery capacity</t>
        </is>
      </c>
    </row>
    <row r="5">
      <c r="A5" t="inlineStr">
        <is>
          <t>Harsh Verma</t>
        </is>
      </c>
      <c r="B5" t="inlineStr">
        <is>
          <t>FE</t>
        </is>
      </c>
      <c r="C5" t="inlineStr">
        <is>
          <t>FrontEnd Architect (Angular)</t>
        </is>
      </c>
      <c r="D5" s="4" t="n">
        <v>1</v>
      </c>
      <c r="E5" t="inlineStr">
        <is>
          <t>Senior</t>
        </is>
      </c>
      <c r="F5" t="inlineStr">
        <is>
          <t>FTE</t>
        </is>
      </c>
      <c r="G5" t="inlineStr"/>
    </row>
    <row r="6">
      <c r="A6" t="inlineStr">
        <is>
          <t>Arun Thakur</t>
        </is>
      </c>
      <c r="B6" t="inlineStr">
        <is>
          <t>FE + Ext</t>
        </is>
      </c>
      <c r="C6" t="inlineStr">
        <is>
          <t>Angular / Extension</t>
        </is>
      </c>
      <c r="D6" s="4" t="n">
        <v>1</v>
      </c>
      <c r="E6" t="inlineStr">
        <is>
          <t>Medium</t>
        </is>
      </c>
      <c r="F6" t="inlineStr">
        <is>
          <t>FTE</t>
        </is>
      </c>
      <c r="G6" t="inlineStr"/>
    </row>
    <row r="7">
      <c r="A7" t="inlineStr">
        <is>
          <t>Harshada Kude</t>
        </is>
      </c>
      <c r="B7" t="inlineStr">
        <is>
          <t>FE</t>
        </is>
      </c>
      <c r="C7" t="inlineStr">
        <is>
          <t>Angular</t>
        </is>
      </c>
      <c r="D7" s="4" t="n">
        <v>1</v>
      </c>
      <c r="E7" t="inlineStr">
        <is>
          <t>Junior</t>
        </is>
      </c>
      <c r="F7" t="inlineStr">
        <is>
          <t>FTE</t>
        </is>
      </c>
      <c r="G7" t="inlineStr"/>
    </row>
    <row r="8">
      <c r="A8" t="inlineStr">
        <is>
          <t>Shailendra Singh</t>
        </is>
      </c>
      <c r="B8" t="inlineStr">
        <is>
          <t>FE</t>
        </is>
      </c>
      <c r="C8" t="inlineStr">
        <is>
          <t>Angular</t>
        </is>
      </c>
      <c r="D8" s="4" t="n">
        <v>1</v>
      </c>
      <c r="E8" t="inlineStr">
        <is>
          <t>Medium</t>
        </is>
      </c>
      <c r="F8" t="inlineStr">
        <is>
          <t>FTE</t>
        </is>
      </c>
      <c r="G8" t="inlineStr"/>
    </row>
    <row r="9">
      <c r="A9" t="inlineStr">
        <is>
          <t>Swaroop Chavhan</t>
        </is>
      </c>
      <c r="B9" t="inlineStr">
        <is>
          <t>FE + Ext</t>
        </is>
      </c>
      <c r="C9" t="inlineStr">
        <is>
          <t>Angular / Extension</t>
        </is>
      </c>
      <c r="D9" s="4" t="n">
        <v>1</v>
      </c>
      <c r="E9" t="inlineStr">
        <is>
          <t>Medium</t>
        </is>
      </c>
      <c r="F9" t="inlineStr">
        <is>
          <t>FTE</t>
        </is>
      </c>
      <c r="G9" t="inlineStr"/>
    </row>
    <row r="10">
      <c r="A10" t="inlineStr">
        <is>
          <t>Ashish Modak</t>
        </is>
      </c>
      <c r="B10" t="inlineStr">
        <is>
          <t>BE Architect</t>
        </is>
      </c>
      <c r="C10" t="inlineStr">
        <is>
          <t>Extension / Go / PHP</t>
        </is>
      </c>
      <c r="D10" s="4" t="n">
        <v>1</v>
      </c>
      <c r="E10" t="inlineStr">
        <is>
          <t>Senior</t>
        </is>
      </c>
      <c r="F10" t="inlineStr">
        <is>
          <t>FTE</t>
        </is>
      </c>
      <c r="G10" t="inlineStr"/>
    </row>
    <row r="11">
      <c r="A11" t="inlineStr">
        <is>
          <t>Prateek Fotedar</t>
        </is>
      </c>
      <c r="B11" t="inlineStr">
        <is>
          <t>BE (www)</t>
        </is>
      </c>
      <c r="C11" t="inlineStr">
        <is>
          <t>Go / PHP</t>
        </is>
      </c>
      <c r="D11" s="4" t="n">
        <v>1</v>
      </c>
      <c r="E11" t="inlineStr">
        <is>
          <t>Senior</t>
        </is>
      </c>
      <c r="F11" t="inlineStr">
        <is>
          <t>FTE</t>
        </is>
      </c>
      <c r="G11" t="inlineStr"/>
    </row>
    <row r="12">
      <c r="A12" t="inlineStr">
        <is>
          <t>Sagar Satpute</t>
        </is>
      </c>
      <c r="B12" t="inlineStr">
        <is>
          <t>BE (www)</t>
        </is>
      </c>
      <c r="C12" t="inlineStr">
        <is>
          <t>Go / PHP</t>
        </is>
      </c>
      <c r="D12" s="4" t="n">
        <v>1</v>
      </c>
      <c r="E12" t="inlineStr">
        <is>
          <t>Medium</t>
        </is>
      </c>
      <c r="F12" t="inlineStr">
        <is>
          <t>FTE</t>
        </is>
      </c>
      <c r="G12" t="inlineStr"/>
    </row>
    <row r="13">
      <c r="A13" t="inlineStr">
        <is>
          <t>Vaibhav Kumbhar</t>
        </is>
      </c>
      <c r="B13" t="inlineStr">
        <is>
          <t>BE</t>
        </is>
      </c>
      <c r="C13" t="inlineStr">
        <is>
          <t>Go / PHP</t>
        </is>
      </c>
      <c r="D13" s="4" t="n">
        <v>1</v>
      </c>
      <c r="E13" t="inlineStr">
        <is>
          <t>Medium</t>
        </is>
      </c>
      <c r="F13" t="inlineStr">
        <is>
          <t>FTE</t>
        </is>
      </c>
      <c r="G13" t="inlineStr"/>
    </row>
    <row r="14">
      <c r="A14" t="inlineStr">
        <is>
          <t>Ashish Temurnikar</t>
        </is>
      </c>
      <c r="B14" t="inlineStr">
        <is>
          <t>BE</t>
        </is>
      </c>
      <c r="C14" t="inlineStr">
        <is>
          <t>DNS / SPAC / Squid / Rust</t>
        </is>
      </c>
      <c r="D14" s="4" t="n">
        <v>1</v>
      </c>
      <c r="E14" t="inlineStr">
        <is>
          <t>Senior</t>
        </is>
      </c>
      <c r="F14" t="inlineStr">
        <is>
          <t>FTE</t>
        </is>
      </c>
      <c r="G14" t="inlineStr"/>
    </row>
    <row r="15">
      <c r="A15" t="inlineStr">
        <is>
          <t>Ravi Raj</t>
        </is>
      </c>
      <c r="B15" t="inlineStr">
        <is>
          <t>BE</t>
        </is>
      </c>
      <c r="C15" t="inlineStr">
        <is>
          <t>DNS / SPAC / Squid / Rust</t>
        </is>
      </c>
      <c r="D15" s="4" t="n">
        <v>1</v>
      </c>
      <c r="E15" t="inlineStr">
        <is>
          <t>Medium</t>
        </is>
      </c>
      <c r="F15" t="inlineStr">
        <is>
          <t>FTE</t>
        </is>
      </c>
      <c r="G15" t="inlineStr"/>
    </row>
    <row r="16">
      <c r="A16" t="inlineStr">
        <is>
          <t>Pratik Tiwari</t>
        </is>
      </c>
      <c r="B16" t="inlineStr">
        <is>
          <t>BE + Ext</t>
        </is>
      </c>
      <c r="C16" t="inlineStr">
        <is>
          <t>Extension / Go / Rust</t>
        </is>
      </c>
      <c r="D16" s="4" t="n">
        <v>1</v>
      </c>
      <c r="E16" t="inlineStr">
        <is>
          <t>Senior</t>
        </is>
      </c>
      <c r="F16" t="inlineStr">
        <is>
          <t>FTE</t>
        </is>
      </c>
      <c r="G16" t="inlineStr"/>
    </row>
    <row r="17">
      <c r="A17" t="inlineStr">
        <is>
          <t>Altamash Heroli</t>
        </is>
      </c>
      <c r="B17" t="inlineStr">
        <is>
          <t>QA</t>
        </is>
      </c>
      <c r="C17" t="inlineStr">
        <is>
          <t>Pri. Manual QA</t>
        </is>
      </c>
      <c r="D17" s="4" t="n">
        <v>1</v>
      </c>
      <c r="E17" t="inlineStr">
        <is>
          <t>Senior</t>
        </is>
      </c>
      <c r="F17" t="inlineStr">
        <is>
          <t>FTE</t>
        </is>
      </c>
      <c r="G17" t="inlineStr"/>
    </row>
    <row r="18">
      <c r="A18" t="inlineStr">
        <is>
          <t>Surabhi Choudhary</t>
        </is>
      </c>
      <c r="B18" t="inlineStr">
        <is>
          <t>QA</t>
        </is>
      </c>
      <c r="C18" t="inlineStr">
        <is>
          <t>Sr. Manual QA</t>
        </is>
      </c>
      <c r="D18" s="4" t="n">
        <v>1</v>
      </c>
      <c r="E18" t="inlineStr">
        <is>
          <t>Senior</t>
        </is>
      </c>
      <c r="F18" t="inlineStr">
        <is>
          <t>FTE</t>
        </is>
      </c>
      <c r="G18" t="inlineStr"/>
    </row>
    <row r="19">
      <c r="A19" t="inlineStr">
        <is>
          <t>Ayesha Kamde</t>
        </is>
      </c>
      <c r="B19" t="inlineStr">
        <is>
          <t>QA</t>
        </is>
      </c>
      <c r="C19" t="inlineStr">
        <is>
          <t>Manual QA</t>
        </is>
      </c>
      <c r="D19" s="4" t="n">
        <v>1</v>
      </c>
      <c r="E19" t="inlineStr">
        <is>
          <t>Junior</t>
        </is>
      </c>
      <c r="F19" t="inlineStr">
        <is>
          <t>FTE</t>
        </is>
      </c>
      <c r="G19" t="inlineStr"/>
    </row>
    <row r="20">
      <c r="A20" t="inlineStr">
        <is>
          <t>Amol Mithari</t>
        </is>
      </c>
      <c r="B20" t="inlineStr">
        <is>
          <t>Auto QA Lead</t>
        </is>
      </c>
      <c r="C20" t="inlineStr">
        <is>
          <t>Team Lead — Auto QA / SDET</t>
        </is>
      </c>
      <c r="D20" s="4" t="n">
        <v>1</v>
      </c>
      <c r="E20" t="inlineStr">
        <is>
          <t>Lead</t>
        </is>
      </c>
      <c r="F20" t="inlineStr">
        <is>
          <t>FTE</t>
        </is>
      </c>
      <c r="G20" t="inlineStr">
        <is>
          <t>Joined 20-Feb-2026 (partial sprint)</t>
        </is>
      </c>
    </row>
    <row r="21">
      <c r="A21" t="inlineStr">
        <is>
          <t>Amit Shete</t>
        </is>
      </c>
      <c r="B21" t="inlineStr">
        <is>
          <t>Auto QA</t>
        </is>
      </c>
      <c r="C21" t="inlineStr">
        <is>
          <t>Pri. SDET</t>
        </is>
      </c>
      <c r="D21" s="4" t="n">
        <v>1</v>
      </c>
      <c r="E21" t="inlineStr">
        <is>
          <t>Senior</t>
        </is>
      </c>
      <c r="F21" t="inlineStr">
        <is>
          <t>FTE</t>
        </is>
      </c>
      <c r="G21" t="inlineStr"/>
    </row>
    <row r="22">
      <c r="A22" t="inlineStr">
        <is>
          <t>Rachit Mishra</t>
        </is>
      </c>
      <c r="B22" t="inlineStr">
        <is>
          <t>Auto QA</t>
        </is>
      </c>
      <c r="C22" t="inlineStr">
        <is>
          <t>SDET</t>
        </is>
      </c>
      <c r="D22" s="4" t="n">
        <v>1</v>
      </c>
      <c r="E22" t="inlineStr">
        <is>
          <t>Junior</t>
        </is>
      </c>
      <c r="F22" t="inlineStr">
        <is>
          <t>FTE</t>
        </is>
      </c>
      <c r="G22" t="inlineStr">
        <is>
          <t>Last day 20-Feb-2026 (partial sprint)</t>
        </is>
      </c>
    </row>
    <row r="23">
      <c r="A23" s="2" t="inlineStr">
        <is>
          <t>Total FILTER allocation</t>
        </is>
      </c>
      <c r="D23" s="4">
        <f>SUM(D4:D22)</f>
        <v/>
      </c>
      <c r="E23" t="inlineStr">
        <is>
          <t>FTE-equivalent heads available to FILTER</t>
        </is>
      </c>
    </row>
    <row r="25">
      <c r="A25" s="2" t="inlineStr">
        <is>
          <t>Capacity Parameters (yellow cells are inputs — re-run the script after edits)</t>
        </is>
      </c>
    </row>
    <row r="26">
      <c r="A26" s="3" t="inlineStr">
        <is>
          <t>Parameter</t>
        </is>
      </c>
      <c r="B26" s="3" t="inlineStr">
        <is>
          <t>Value</t>
        </is>
      </c>
      <c r="C26" s="3" t="inlineStr">
        <is>
          <t>Description</t>
        </is>
      </c>
    </row>
    <row r="27">
      <c r="A27" t="inlineStr">
        <is>
          <t>Sprint length (working days)</t>
        </is>
      </c>
      <c r="B27" s="5" t="n">
        <v>10</v>
      </c>
      <c r="C27" t="inlineStr">
        <is>
          <t>FILTER 15-day sprint Tue → Mon. sprint-Dolly = 2026-02-17 → 2026-03-02.</t>
        </is>
      </c>
    </row>
    <row r="28">
      <c r="A28" t="inlineStr">
        <is>
          <t>Company holidays in sprint</t>
        </is>
      </c>
      <c r="B28" s="5" t="n">
        <v>0</v>
      </c>
      <c r="C28" t="inlineStr">
        <is>
          <t>India calendar 2026 — none in window</t>
        </is>
      </c>
    </row>
    <row r="29">
      <c r="A29" t="inlineStr">
        <is>
          <t>Effective working days (sprint − company holidays)</t>
        </is>
      </c>
      <c r="B29" s="6">
        <f>B27-B28</f>
        <v/>
      </c>
      <c r="C29" t="inlineStr">
        <is>
          <t>Used as the per-person calendar for availability</t>
        </is>
      </c>
    </row>
    <row r="30">
      <c r="A30" t="inlineStr">
        <is>
          <t>Hours per working day (nominal)</t>
        </is>
      </c>
      <c r="B30" s="7" t="n">
        <v>8</v>
      </c>
      <c r="C30" t="inlineStr">
        <is>
          <t>Standard working day</t>
        </is>
      </c>
    </row>
    <row r="31">
      <c r="A31" t="inlineStr">
        <is>
          <t>Focus factor (productive fraction)</t>
        </is>
      </c>
      <c r="B31" s="7" t="n">
        <v>0.9</v>
      </c>
      <c r="C31" t="inlineStr">
        <is>
          <t>90% — what SLT expects (sprint-analysis default)</t>
        </is>
      </c>
    </row>
    <row r="32">
      <c r="A32" t="inlineStr">
        <is>
          <t>Misc buffer (meetings, scrums, code review, …)</t>
        </is>
      </c>
      <c r="B32" s="8" t="n">
        <v>0.2</v>
      </c>
      <c r="C32" t="inlineStr">
        <is>
          <t>20% blanket reservation deducted from Available to get Net Available</t>
        </is>
      </c>
    </row>
    <row r="33">
      <c r="A33" t="inlineStr">
        <is>
          <t>Effective hours per FTE per sprint</t>
        </is>
      </c>
      <c r="B33" s="9">
        <f>B29*B30*B31</f>
        <v/>
      </c>
      <c r="C33">
        <f> effective days × hrs/day × focus factor</f>
        <v/>
      </c>
    </row>
    <row r="34">
      <c r="A34" t="inlineStr">
        <is>
          <t>Allocated FTE on FILTER (active this sprint)</t>
        </is>
      </c>
      <c r="B34" s="5" t="n">
        <v>18</v>
      </c>
      <c r="C34" t="inlineStr">
        <is>
          <t>Headcount actually working this sprint (excludes joiners/leavers outside window)</t>
        </is>
      </c>
    </row>
    <row r="35">
      <c r="A35" t="inlineStr">
        <is>
          <t>Ideal capacity for the sprint (hrs)</t>
        </is>
      </c>
      <c r="B35" s="9">
        <f>B33*B34</f>
        <v/>
      </c>
      <c r="C35">
        <f> effective hrs/FTE × allocated FTE</f>
        <v/>
      </c>
    </row>
    <row r="36">
      <c r="A36" t="inlineStr">
        <is>
          <t>Issue scope (Jira projects)</t>
        </is>
      </c>
      <c r="B36" t="inlineStr">
        <is>
          <t>FILTER, PTGM, FDSE</t>
        </is>
      </c>
      <c r="C36" t="inlineStr">
        <is>
          <t>Tickets pulled with `project in (FILTER, PTGM, FDSE) AND sprint = …` — FDSE: 4 · FILTER: 127 · PTGM: 11</t>
        </is>
      </c>
    </row>
    <row r="38">
      <c r="A38" s="2" t="inlineStr">
        <is>
          <t>Capacity vs Actual Delivery — sprint-Dolly</t>
        </is>
      </c>
    </row>
    <row r="39">
      <c r="A39" s="3" t="inlineStr">
        <is>
          <t>Metric</t>
        </is>
      </c>
      <c r="B39" s="3" t="inlineStr">
        <is>
          <t>Hours</t>
        </is>
      </c>
      <c r="C39" s="3" t="inlineStr">
        <is>
          <t>% of Ideal</t>
        </is>
      </c>
      <c r="D39" s="3" t="inlineStr">
        <is>
          <t>Rating</t>
        </is>
      </c>
      <c r="E39" s="3" t="inlineStr">
        <is>
          <t>Notes</t>
        </is>
      </c>
    </row>
    <row r="40">
      <c r="A40" t="inlineStr">
        <is>
          <t>Actual Availability</t>
        </is>
      </c>
      <c r="B40" s="9">
        <f>'Per-person Delivery'!F20</f>
        <v/>
      </c>
      <c r="D40">
        <f>IF(C40="","",IF(C40&gt;=0.85,"On Target",IF(C40&gt;=0.7,"Below Target","Significantly Below")))</f>
        <v/>
      </c>
      <c r="E40" t="inlineStr">
        <is>
          <t>Sum of per-person availability (Ideal − leaves)</t>
        </is>
      </c>
    </row>
    <row r="41">
      <c r="A41" t="inlineStr">
        <is>
          <t>Misc Buffer (20%)</t>
        </is>
      </c>
      <c r="B41" s="9">
        <f>'Per-person Delivery'!H20</f>
        <v/>
      </c>
      <c r="D41">
        <f>IF(C41="","",IF(C41&gt;=0.85,"On Target",IF(C41&gt;=0.7,"Below Target","Significantly Below")))</f>
        <v/>
      </c>
      <c r="E41" t="inlineStr">
        <is>
          <t>Reserved for meetings, scrums, code reviews</t>
        </is>
      </c>
    </row>
    <row r="42">
      <c r="A42" t="inlineStr">
        <is>
          <t>Net Available (Available − Misc Buffer)</t>
        </is>
      </c>
      <c r="B42" s="9">
        <f>'Per-person Delivery'!I20</f>
        <v/>
      </c>
      <c r="D42">
        <f>IF(C42="","",IF(C42&gt;=0.85,"On Target",IF(C42&gt;=0.7,"Below Target","Significantly Below")))</f>
        <v/>
      </c>
      <c r="E42" t="inlineStr">
        <is>
          <t>Realistic delivery capacity — used as the denominator for Completed %</t>
        </is>
      </c>
    </row>
    <row r="43">
      <c r="A43" t="inlineStr">
        <is>
          <t>Completed</t>
        </is>
      </c>
      <c r="B43" s="9">
        <f>'Per-person Delivery'!B20</f>
        <v/>
      </c>
      <c r="C43" s="10">
        <f>IFERROR(B43/B42,"")</f>
        <v/>
      </c>
      <c r="D43">
        <f>IF(C43="","",IF(C43&gt;=0.85,"On Target",IF(C43&gt;=0.7,"Below Target","Significantly Below")))</f>
        <v/>
      </c>
      <c r="E43" t="inlineStr">
        <is>
          <t>Sum of in-sprint timeSpent (Completed bucket)</t>
        </is>
      </c>
    </row>
    <row r="44">
      <c r="A44" t="inlineStr">
        <is>
          <t>Not Completed (Spillover)</t>
        </is>
      </c>
      <c r="B44" s="9">
        <f>'Per-person Delivery'!C20</f>
        <v/>
      </c>
      <c r="C44" s="10">
        <f>IFERROR(B44/B42,"")</f>
        <v/>
      </c>
      <c r="D44">
        <f>IF(C44="","",IF(C44&gt;=0.85,"On Target",IF(C44&gt;=0.7,"Below Target","Significantly Below")))</f>
        <v/>
      </c>
      <c r="E44" t="inlineStr">
        <is>
          <t>Original estimate for spillover (carried into next sprint)</t>
        </is>
      </c>
    </row>
    <row r="45">
      <c r="A45" t="inlineStr">
        <is>
          <t>Removed</t>
        </is>
      </c>
      <c r="B45" s="9">
        <f>'Per-person Delivery'!D20</f>
        <v/>
      </c>
      <c r="C45" s="10">
        <f>IFERROR(B45/B42,"")</f>
        <v/>
      </c>
      <c r="D45">
        <f>IF(C45="","",IF(C45&gt;=0.85,"On Target",IF(C45&gt;=0.7,"Below Target","Significantly Below")))</f>
        <v/>
      </c>
      <c r="E45" t="inlineStr">
        <is>
          <t>Original estimate for issues removed mid-sprint</t>
        </is>
      </c>
    </row>
    <row r="47">
      <c r="A47" s="2" t="inlineStr">
        <is>
          <t>Completed by Priority</t>
        </is>
      </c>
    </row>
    <row r="48" ht="28" customHeight="1">
      <c r="A48" s="11" t="inlineStr">
        <is>
          <t>Tickets (parents) = unique parent items (Story / Task / Defect / Escape Defect) — subtasks roll up to their parent so 1 parent + 3 subtasks = 1 ticket. Tickets (incl. subtasks) = raw record count incl. every Dev / QA / Automation / Review / Test Case Creation / Debug subtask. Hours = sum across parents and subtasks; matches the core-team Completed hours on the Per-person Delivery sheet.</t>
        </is>
      </c>
    </row>
    <row r="49">
      <c r="A49" s="3" t="inlineStr">
        <is>
          <t>Priority</t>
        </is>
      </c>
      <c r="B49" s="3" t="inlineStr">
        <is>
          <t>Tickets (parents)</t>
        </is>
      </c>
      <c r="C49" s="3" t="inlineStr">
        <is>
          <t>Tickets (incl. subtasks)</t>
        </is>
      </c>
      <c r="D49" s="3" t="inlineStr">
        <is>
          <t>Hours (incl. subtasks)</t>
        </is>
      </c>
      <c r="E49" s="3" t="inlineStr">
        <is>
          <t>% of Completed Hrs</t>
        </is>
      </c>
      <c r="F49" s="3" t="inlineStr">
        <is>
          <t>% of Tickets (parents)</t>
        </is>
      </c>
      <c r="G49" s="3" t="inlineStr">
        <is>
          <t>Notes</t>
        </is>
      </c>
    </row>
    <row r="50">
      <c r="A50" t="inlineStr">
        <is>
          <t>P0</t>
        </is>
      </c>
      <c r="B50" s="6" t="n">
        <v>1</v>
      </c>
      <c r="C50" s="6" t="n">
        <v>1</v>
      </c>
      <c r="D50" s="9" t="n">
        <v>8</v>
      </c>
      <c r="E50" s="10">
        <f>IFERROR(D50/568.0,"")</f>
        <v/>
      </c>
      <c r="F50" s="10">
        <f>IFERROR(B50/33,"")</f>
        <v/>
      </c>
      <c r="G50" t="inlineStr">
        <is>
          <t>Critical / production halting</t>
        </is>
      </c>
    </row>
    <row r="51">
      <c r="A51" t="inlineStr">
        <is>
          <t>P1</t>
        </is>
      </c>
      <c r="B51" s="6" t="n">
        <v>1</v>
      </c>
      <c r="C51" s="6" t="n">
        <v>1</v>
      </c>
      <c r="D51" s="9" t="n">
        <v>24</v>
      </c>
      <c r="E51" s="10">
        <f>IFERROR(D51/568.0,"")</f>
        <v/>
      </c>
      <c r="F51" s="10">
        <f>IFERROR(B51/33,"")</f>
        <v/>
      </c>
      <c r="G51" s="12" t="inlineStr">
        <is>
          <t>P1 — high priority (see P1 Escalation tab for escalations)</t>
        </is>
      </c>
    </row>
    <row r="52">
      <c r="A52" t="inlineStr">
        <is>
          <t>P2</t>
        </is>
      </c>
      <c r="B52" s="6" t="n">
        <v>4</v>
      </c>
      <c r="C52" s="6" t="n">
        <v>10</v>
      </c>
      <c r="D52" s="9" t="n">
        <v>51.5</v>
      </c>
      <c r="E52" s="10">
        <f>IFERROR(D52/568.0,"")</f>
        <v/>
      </c>
      <c r="F52" s="10">
        <f>IFERROR(B52/33,"")</f>
        <v/>
      </c>
      <c r="G52" t="inlineStr">
        <is>
          <t>Major</t>
        </is>
      </c>
    </row>
    <row r="53">
      <c r="A53" t="inlineStr">
        <is>
          <t>P3</t>
        </is>
      </c>
      <c r="B53" s="6" t="n">
        <v>27</v>
      </c>
      <c r="C53" s="6" t="n">
        <v>38</v>
      </c>
      <c r="D53" s="9" t="n">
        <v>484.5</v>
      </c>
      <c r="E53" s="10">
        <f>IFERROR(D53/568.0,"")</f>
        <v/>
      </c>
      <c r="F53" s="10">
        <f>IFERROR(B53/33,"")</f>
        <v/>
      </c>
      <c r="G53" t="inlineStr">
        <is>
          <t>Standard</t>
        </is>
      </c>
    </row>
    <row r="54">
      <c r="A54" s="2" t="inlineStr">
        <is>
          <t>TOTAL</t>
        </is>
      </c>
      <c r="B54" s="6" t="n">
        <v>33</v>
      </c>
      <c r="C54" s="6" t="n">
        <v>50</v>
      </c>
      <c r="D54" s="9" t="n">
        <v>568</v>
      </c>
      <c r="E54" s="10" t="n">
        <v>1</v>
      </c>
      <c r="F54" s="10" t="n">
        <v>1</v>
      </c>
      <c r="G54" t="inlineStr">
        <is>
          <t>Sum of Completed bucket (core roster)</t>
        </is>
      </c>
    </row>
    <row r="56">
      <c r="A56" s="2" t="inlineStr">
        <is>
          <t>Sprint Completion (spillover = Not Completed)</t>
        </is>
      </c>
    </row>
    <row r="57">
      <c r="A57" s="3" t="inlineStr">
        <is>
          <t>Metric</t>
        </is>
      </c>
      <c r="B57" s="3" t="inlineStr">
        <is>
          <t>Tickets</t>
        </is>
      </c>
      <c r="C57" s="3" t="inlineStr">
        <is>
          <t>Planned Hrs (OE)</t>
        </is>
      </c>
      <c r="D57" s="3" t="inlineStr">
        <is>
          <t>% by Tickets</t>
        </is>
      </c>
      <c r="E57" s="3" t="inlineStr">
        <is>
          <t>% by Hrs</t>
        </is>
      </c>
      <c r="F57" s="3" t="inlineStr">
        <is>
          <t>Notes</t>
        </is>
      </c>
    </row>
    <row r="58">
      <c r="A58" t="inlineStr">
        <is>
          <t>Completed (closed in sprint)</t>
        </is>
      </c>
      <c r="B58" s="6" t="n">
        <v>50</v>
      </c>
      <c r="C58" s="9" t="n">
        <v>516</v>
      </c>
      <c r="D58" s="10">
        <f>IFERROR(50/52,"")</f>
        <v/>
      </c>
      <c r="E58" s="10">
        <f>IFERROR(516.0/532.0,"")</f>
        <v/>
      </c>
      <c r="F58" t="inlineStr">
        <is>
          <t>In-sprint deliverables</t>
        </is>
      </c>
    </row>
    <row r="59">
      <c r="A59" t="inlineStr">
        <is>
          <t>Spillover (not completed → carry-over)</t>
        </is>
      </c>
      <c r="B59" s="6" t="n">
        <v>2</v>
      </c>
      <c r="C59" s="9" t="n">
        <v>16</v>
      </c>
      <c r="D59" s="10">
        <f>IFERROR(2/52,"")</f>
        <v/>
      </c>
      <c r="E59" s="10">
        <f>IFERROR(16.0/532.0,"")</f>
        <v/>
      </c>
      <c r="F59" t="inlineStr">
        <is>
          <t>Original estimate carried to next sprint</t>
        </is>
      </c>
    </row>
    <row r="60">
      <c r="A60" t="inlineStr">
        <is>
          <t>Removed (mid-sprint scope cut)</t>
        </is>
      </c>
      <c r="B60" s="6" t="n">
        <v>7</v>
      </c>
      <c r="C60" s="9" t="n">
        <v>151</v>
      </c>
      <c r="D60" t="inlineStr">
        <is>
          <t>—</t>
        </is>
      </c>
      <c r="E60" t="inlineStr">
        <is>
          <t>—</t>
        </is>
      </c>
      <c r="F60" t="inlineStr">
        <is>
          <t>Excluded from completion ratio (out of scope)</t>
        </is>
      </c>
    </row>
    <row r="61">
      <c r="A61" t="inlineStr">
        <is>
          <t>Mid-sprint additions (core)</t>
        </is>
      </c>
      <c r="B61" s="6" t="n">
        <v>15</v>
      </c>
      <c r="D61" t="inlineStr">
        <is>
          <t>—</t>
        </is>
      </c>
      <c r="E61" t="inlineStr">
        <is>
          <t>—</t>
        </is>
      </c>
      <c r="F61" t="inlineStr">
        <is>
          <t>Late-arriving work (Jira issueKeysAddedDuringSprint)</t>
        </is>
      </c>
    </row>
    <row r="63">
      <c r="A63" s="2" t="inlineStr">
        <is>
          <t>Sprint completion rate (tickets)</t>
        </is>
      </c>
      <c r="B63" s="10" t="n">
        <v>0.9615384615384616</v>
      </c>
      <c r="C63" s="13" t="inlineStr">
        <is>
          <t>On Target</t>
        </is>
      </c>
      <c r="D63" s="14" t="inlineStr">
        <is>
          <t>Completed ÷ (Completed + Spillover)</t>
        </is>
      </c>
    </row>
    <row r="64">
      <c r="A64" s="2" t="inlineStr">
        <is>
          <t>Sprint completion rate (planned hrs)</t>
        </is>
      </c>
      <c r="B64" s="10" t="n">
        <v>0.9699248120300752</v>
      </c>
      <c r="C64" s="13" t="inlineStr">
        <is>
          <t>On Target</t>
        </is>
      </c>
      <c r="D64" s="14" t="inlineStr">
        <is>
          <t>Σ OE Completed ÷ Σ OE (Completed + Spillover)</t>
        </is>
      </c>
    </row>
    <row r="65">
      <c r="A65" s="2" t="inlineStr">
        <is>
          <t>Planned completion rate (tickets, excludes mid-sprint adds)</t>
        </is>
      </c>
      <c r="B65" s="10" t="n">
        <v>0.9487179487179487</v>
      </c>
      <c r="C65" s="13" t="inlineStr">
        <is>
          <t>On Target</t>
        </is>
      </c>
      <c r="D65" s="14" t="inlineStr">
        <is>
          <t>Originally-committed tickets only</t>
        </is>
      </c>
    </row>
    <row r="66">
      <c r="A66" s="2" t="inlineStr">
        <is>
          <t>Planned completion rate (planned hrs, excludes mid-sprint adds)</t>
        </is>
      </c>
      <c r="B66" s="10" t="n">
        <v>0.9584415584415584</v>
      </c>
      <c r="C66" s="13" t="inlineStr">
        <is>
          <t>On Target</t>
        </is>
      </c>
      <c r="D66" s="14" t="inlineStr">
        <is>
          <t>Originally-committed planned hours only</t>
        </is>
      </c>
    </row>
    <row r="68">
      <c r="A68" s="15" t="inlineStr">
        <is>
          <t>P1 Escalation snapshot</t>
        </is>
      </c>
    </row>
    <row r="69">
      <c r="A69" s="12" t="inlineStr">
        <is>
          <t>5 ticket(s) in sprint-Dolly match 'P1 Escalation' in the title — 4 closed, 1 still open. See the 'P1 Escalation' tab.</t>
        </is>
      </c>
    </row>
    <row r="71">
      <c r="A71" s="16" t="inlineStr">
        <is>
          <t>Mid-sprint additions snapshot</t>
        </is>
      </c>
    </row>
    <row r="72" ht="36" customHeight="1">
      <c r="A72" s="17" t="inlineStr">
        <is>
          <t>15 ticket(s) were added to sprint-Dolly after it started (issueKeysAddedDuringSprint) — Completed 13, Spillover 0, Removed 2. Highlighted in amber on every detail sheet (Added Mid-Sprint = YES).</t>
        </is>
      </c>
    </row>
    <row r="74">
      <c r="A74" s="2" t="inlineStr">
        <is>
          <t>Assumptions &amp; caveats</t>
        </is>
      </c>
    </row>
    <row r="75" ht="32" customHeight="1">
      <c r="A75" s="18" t="inlineStr">
        <is>
          <t>• Sprint window from Jira (/rest/agile/1.0/sprint/5297): 2026-02-17 → 2026-03-02 (10 Mon–Fri working days). Refresh with fetch_filter_sprint_meta.py + fetch_filter_sprint_issues.py.</t>
        </is>
      </c>
    </row>
    <row r="76" ht="32" customHeight="1">
      <c r="A76" s="18" t="inlineStr">
        <is>
          <t>• Issues pulled from FILTER + PTGM + FDSE (project-scope expanded for the India scrum team's split across the three products).</t>
        </is>
      </c>
    </row>
    <row r="77" ht="32" customHeight="1">
      <c r="A77" s="18" t="inlineStr">
        <is>
          <t>• Date-aware roster: Amol Mithari joined 20-Feb-2026; Rachit Mishra's last day was 20-Feb-2026. Inactive members for this sprint window are shaded grey in the Team Composition table and excluded from per-person availability + delivery.</t>
        </is>
      </c>
    </row>
    <row r="78" ht="32" customHeight="1">
      <c r="A78" s="18" t="inlineStr">
        <is>
          <t>• Available (hrs) = (effective working days − leave days) × 8 × focus factor, where effective working days = sprint working days − company holidays falling inside the sprint − days outside the person's employment window. Per-person Delivery shows leave days in Column G to explain the delta from a full sprint.</t>
        </is>
      </c>
    </row>
    <row r="79" ht="32" customHeight="1">
      <c r="A79" s="18" t="inlineStr">
        <is>
          <t>• Net Available = Available − 20% Misc Buffer for meetings, scrums, code review, etc. Completed/Not Completed/Removed % of capacity use Net Available as the denominator.</t>
        </is>
      </c>
    </row>
    <row r="80" ht="32" customHeight="1">
      <c r="A80" s="18" t="inlineStr">
        <is>
          <t>• Time Spent on Completed sheet uses the in-sprint hybrid worklog rule (sprint-analysis.md): single-sprint = timespent; multi-sprint = SUM of worklogs whose started ∈ [sprintStart, sprintEnd].</t>
        </is>
      </c>
    </row>
    <row r="81" ht="32" customHeight="1">
      <c r="A81" s="18" t="inlineStr">
        <is>
          <t>• Not Completed and Removed totals use Original Estimate.</t>
        </is>
      </c>
    </row>
    <row r="82" ht="32" customHeight="1">
      <c r="A82" s="18" t="inlineStr">
        <is>
          <t>• Removed list comes from the Sprint Report puntedIssues (greenhopper API).</t>
        </is>
      </c>
    </row>
    <row r="83" ht="32" customHeight="1">
      <c r="A83" s="18" t="inlineStr">
        <is>
          <t>• Core roster only: assignees outside Securly-PjM-Skills.md Part 2 are dropped from per-person + detail sheets.</t>
        </is>
      </c>
    </row>
    <row r="84" ht="32" customHeight="1">
      <c r="A84" s="18" t="inlineStr">
        <is>
          <t>• P1 Escalation tab is filtered to Issue Type = Escape Defect AND Priority = P1 AND title contains 'P1 Escalation'.</t>
        </is>
      </c>
    </row>
    <row r="85" ht="32" customHeight="1">
      <c r="A85" s="18" t="inlineStr">
        <is>
          <t>• Completed by Priority — Tickets (parents) rolls subtasks up to their parent (each work item counted once at its parent priority); Tickets (incl. subtasks) shows the raw record count for comparison. The Hours column sums every record (parent + subtasks) and matches the core-team Completed total.</t>
        </is>
      </c>
    </row>
    <row r="86" ht="32" customHeight="1">
      <c r="A86" s="18" t="inlineStr">
        <is>
          <t>• Spillover = Not Completed bucket (tickets carried into the next sprint).</t>
        </is>
      </c>
    </row>
    <row r="87" ht="32" customHeight="1">
      <c r="A87" s="18" t="inlineStr">
        <is>
          <t>• Sprint completion rate uses Completed ÷ (Completed + Spillover); Removed tickets are excluded (treated as scope cut). 'Planned' rate also excludes mid-sprint additions.</t>
        </is>
      </c>
    </row>
    <row r="88" ht="32" customHeight="1">
      <c r="A88" s="18" t="inlineStr">
        <is>
          <t>• All detail sheets (Completed, Not Completed, Removed) highlight tickets added after sprint start (Jira sprint-report issueKeysAddedDuringSprint) in amber, with an 'Added Mid-Sprint = YES' tag column.</t>
        </is>
      </c>
    </row>
    <row r="89" ht="32" customHeight="1">
      <c r="A89" s="18" t="inlineStr">
        <is>
          <t>• Ratings: ≥85% On Target (green), 70–85% Below Target (amber), &lt;70% Significantly Below (red).</t>
        </is>
      </c>
    </row>
  </sheetData>
  <mergeCells count="30">
    <mergeCell ref="A38:G38"/>
    <mergeCell ref="D64:G64"/>
    <mergeCell ref="A72:G72"/>
    <mergeCell ref="A81:G81"/>
    <mergeCell ref="A68:G68"/>
    <mergeCell ref="A77:G77"/>
    <mergeCell ref="A83:G83"/>
    <mergeCell ref="A48:G48"/>
    <mergeCell ref="D63:G63"/>
    <mergeCell ref="A82:G82"/>
    <mergeCell ref="A1:G1"/>
    <mergeCell ref="D65:G65"/>
    <mergeCell ref="A88:G88"/>
    <mergeCell ref="A79:G79"/>
    <mergeCell ref="A69:G69"/>
    <mergeCell ref="A87:G87"/>
    <mergeCell ref="A78:G78"/>
    <mergeCell ref="A25:G25"/>
    <mergeCell ref="A75:G75"/>
    <mergeCell ref="A84:G84"/>
    <mergeCell ref="A85:G85"/>
    <mergeCell ref="A89:G89"/>
    <mergeCell ref="A80:G80"/>
    <mergeCell ref="A56:G56"/>
    <mergeCell ref="D66:G66"/>
    <mergeCell ref="A2:G2"/>
    <mergeCell ref="A86:G86"/>
    <mergeCell ref="A76:G76"/>
    <mergeCell ref="A71:G71"/>
    <mergeCell ref="A47:G4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4" customWidth="1" min="4" max="4"/>
    <col width="12" customWidth="1" min="5" max="5"/>
    <col width="14" customWidth="1" min="6" max="6"/>
    <col width="14" customWidth="1" min="7" max="7"/>
    <col width="18" customWidth="1" min="8" max="8"/>
    <col width="16" customWidth="1" min="9" max="9"/>
  </cols>
  <sheetData>
    <row r="1" ht="32" customHeight="1">
      <c r="A1" s="19" t="inlineStr">
        <is>
          <t>Assignee</t>
        </is>
      </c>
      <c r="B1" s="19" t="inlineStr">
        <is>
          <t>Completed (hrs)</t>
        </is>
      </c>
      <c r="C1" s="19" t="inlineStr">
        <is>
          <t>Not Completed (hrs)</t>
        </is>
      </c>
      <c r="D1" s="19" t="inlineStr">
        <is>
          <t>Removed (hrs)</t>
        </is>
      </c>
      <c r="E1" s="19" t="inlineStr">
        <is>
          <t>Efficiency</t>
        </is>
      </c>
      <c r="F1" s="19" t="inlineStr">
        <is>
          <t>Available (hrs)</t>
        </is>
      </c>
      <c r="G1" s="19" t="inlineStr">
        <is>
          <t>Leave Days (sprint)</t>
        </is>
      </c>
      <c r="H1" s="19" t="inlineStr">
        <is>
          <t>Misc Buffer 20% (hrs)</t>
        </is>
      </c>
      <c r="I1" s="19" t="inlineStr">
        <is>
          <t>Net Available (hrs)</t>
        </is>
      </c>
    </row>
    <row r="2">
      <c r="A2" t="inlineStr">
        <is>
          <t>Harsh Verma</t>
        </is>
      </c>
      <c r="B2" s="9" t="n">
        <v>50</v>
      </c>
      <c r="C2" s="9" t="n">
        <v>16</v>
      </c>
      <c r="D2" s="9" t="n">
        <v>32</v>
      </c>
      <c r="E2" s="10">
        <f>IFERROR(B2/I2,"")</f>
        <v/>
      </c>
      <c r="F2" s="9" t="n">
        <v>50.4</v>
      </c>
      <c r="G2" s="6" t="n">
        <v>3</v>
      </c>
      <c r="H2" s="9">
        <f>F2*0.2</f>
        <v/>
      </c>
      <c r="I2" s="9">
        <f>F2-H2</f>
        <v/>
      </c>
    </row>
    <row r="3">
      <c r="A3" t="inlineStr">
        <is>
          <t>Arun Thakur</t>
        </is>
      </c>
      <c r="B3" s="9" t="n">
        <v>4</v>
      </c>
      <c r="C3" s="9" t="n">
        <v>0</v>
      </c>
      <c r="D3" s="9" t="n">
        <v>2</v>
      </c>
      <c r="E3" s="10">
        <f>IFERROR(B3/I3,"")</f>
        <v/>
      </c>
      <c r="F3" s="9" t="n">
        <v>72</v>
      </c>
      <c r="G3" s="6" t="n">
        <v>0</v>
      </c>
      <c r="H3" s="9">
        <f>F3*0.2</f>
        <v/>
      </c>
      <c r="I3" s="9">
        <f>F3-H3</f>
        <v/>
      </c>
    </row>
    <row r="4">
      <c r="A4" t="inlineStr">
        <is>
          <t>Harshada Kude</t>
        </is>
      </c>
      <c r="B4" s="9" t="n">
        <v>61</v>
      </c>
      <c r="C4" s="9" t="n">
        <v>0</v>
      </c>
      <c r="D4" s="9" t="n">
        <v>0</v>
      </c>
      <c r="E4" s="10">
        <f>IFERROR(B4/I4,"")</f>
        <v/>
      </c>
      <c r="F4" s="9" t="n">
        <v>72</v>
      </c>
      <c r="G4" s="6" t="n">
        <v>0</v>
      </c>
      <c r="H4" s="9">
        <f>F4*0.2</f>
        <v/>
      </c>
      <c r="I4" s="9">
        <f>F4-H4</f>
        <v/>
      </c>
    </row>
    <row r="5">
      <c r="A5" t="inlineStr">
        <is>
          <t>Shailendra Singh</t>
        </is>
      </c>
      <c r="B5" s="9" t="n">
        <v>0</v>
      </c>
      <c r="C5" s="9" t="n">
        <v>0</v>
      </c>
      <c r="D5" s="9" t="n">
        <v>0</v>
      </c>
      <c r="E5" s="10">
        <f>IFERROR(B5/I5,"")</f>
        <v/>
      </c>
      <c r="F5" s="9" t="n">
        <v>72</v>
      </c>
      <c r="G5" s="6" t="n">
        <v>0</v>
      </c>
      <c r="H5" s="9">
        <f>F5*0.2</f>
        <v/>
      </c>
      <c r="I5" s="9">
        <f>F5-H5</f>
        <v/>
      </c>
    </row>
    <row r="6">
      <c r="A6" t="inlineStr">
        <is>
          <t>Swaroop Chavhan</t>
        </is>
      </c>
      <c r="B6" s="9" t="n">
        <v>51</v>
      </c>
      <c r="C6" s="9" t="n">
        <v>0</v>
      </c>
      <c r="D6" s="9" t="n">
        <v>52</v>
      </c>
      <c r="E6" s="10">
        <f>IFERROR(B6/I6,"")</f>
        <v/>
      </c>
      <c r="F6" s="9" t="n">
        <v>72</v>
      </c>
      <c r="G6" s="6" t="n">
        <v>0</v>
      </c>
      <c r="H6" s="9">
        <f>F6*0.2</f>
        <v/>
      </c>
      <c r="I6" s="9">
        <f>F6-H6</f>
        <v/>
      </c>
    </row>
    <row r="7">
      <c r="A7" t="inlineStr">
        <is>
          <t>Ashish Modak</t>
        </is>
      </c>
      <c r="B7" s="9" t="n">
        <v>66</v>
      </c>
      <c r="C7" s="9" t="n">
        <v>0</v>
      </c>
      <c r="D7" s="9" t="n">
        <v>0</v>
      </c>
      <c r="E7" s="10">
        <f>IFERROR(B7/I7,"")</f>
        <v/>
      </c>
      <c r="F7" s="9" t="n">
        <v>72</v>
      </c>
      <c r="G7" s="6" t="n">
        <v>0</v>
      </c>
      <c r="H7" s="9">
        <f>F7*0.2</f>
        <v/>
      </c>
      <c r="I7" s="9">
        <f>F7-H7</f>
        <v/>
      </c>
    </row>
    <row r="8">
      <c r="A8" t="inlineStr">
        <is>
          <t>Prateek Fotedar</t>
        </is>
      </c>
      <c r="B8" s="9" t="n">
        <v>0</v>
      </c>
      <c r="C8" s="9" t="n">
        <v>0</v>
      </c>
      <c r="D8" s="9" t="n">
        <v>0</v>
      </c>
      <c r="E8" s="10">
        <f>IFERROR(B8/I8,"")</f>
        <v/>
      </c>
      <c r="F8" s="9" t="n">
        <v>72</v>
      </c>
      <c r="G8" s="6" t="n">
        <v>0</v>
      </c>
      <c r="H8" s="9">
        <f>F8*0.2</f>
        <v/>
      </c>
      <c r="I8" s="9">
        <f>F8-H8</f>
        <v/>
      </c>
    </row>
    <row r="9">
      <c r="A9" t="inlineStr">
        <is>
          <t>Sagar Satpute</t>
        </is>
      </c>
      <c r="B9" s="9" t="n">
        <v>14</v>
      </c>
      <c r="C9" s="9" t="n">
        <v>0</v>
      </c>
      <c r="D9" s="9" t="n">
        <v>0</v>
      </c>
      <c r="E9" s="10">
        <f>IFERROR(B9/I9,"")</f>
        <v/>
      </c>
      <c r="F9" s="9" t="n">
        <v>64.8</v>
      </c>
      <c r="G9" s="6" t="n">
        <v>1</v>
      </c>
      <c r="H9" s="9">
        <f>F9*0.2</f>
        <v/>
      </c>
      <c r="I9" s="9">
        <f>F9-H9</f>
        <v/>
      </c>
    </row>
    <row r="10">
      <c r="A10" t="inlineStr">
        <is>
          <t>Vaibhav Kumbhar</t>
        </is>
      </c>
      <c r="B10" s="9" t="n">
        <v>89</v>
      </c>
      <c r="C10" s="9" t="n">
        <v>0</v>
      </c>
      <c r="D10" s="9" t="n">
        <v>0</v>
      </c>
      <c r="E10" s="10">
        <f>IFERROR(B10/I10,"")</f>
        <v/>
      </c>
      <c r="F10" s="9" t="n">
        <v>72</v>
      </c>
      <c r="G10" s="6" t="n">
        <v>0</v>
      </c>
      <c r="H10" s="9">
        <f>F10*0.2</f>
        <v/>
      </c>
      <c r="I10" s="9">
        <f>F10-H10</f>
        <v/>
      </c>
    </row>
    <row r="11">
      <c r="A11" t="inlineStr">
        <is>
          <t>Ashish Temurnikar</t>
        </is>
      </c>
      <c r="B11" s="9" t="n">
        <v>84</v>
      </c>
      <c r="C11" s="9" t="n">
        <v>0</v>
      </c>
      <c r="D11" s="9" t="n">
        <v>0</v>
      </c>
      <c r="E11" s="10">
        <f>IFERROR(B11/I11,"")</f>
        <v/>
      </c>
      <c r="F11" s="9" t="n">
        <v>72</v>
      </c>
      <c r="G11" s="6" t="n">
        <v>0</v>
      </c>
      <c r="H11" s="9">
        <f>F11*0.2</f>
        <v/>
      </c>
      <c r="I11" s="9">
        <f>F11-H11</f>
        <v/>
      </c>
    </row>
    <row r="12">
      <c r="A12" t="inlineStr">
        <is>
          <t>Ravi Raj</t>
        </is>
      </c>
      <c r="B12" s="9" t="n">
        <v>28</v>
      </c>
      <c r="C12" s="9" t="n">
        <v>0</v>
      </c>
      <c r="D12" s="9" t="n">
        <v>0</v>
      </c>
      <c r="E12" s="10">
        <f>IFERROR(B12/I12,"")</f>
        <v/>
      </c>
      <c r="F12" s="9" t="n">
        <v>72</v>
      </c>
      <c r="G12" s="6" t="n">
        <v>0</v>
      </c>
      <c r="H12" s="9">
        <f>F12*0.2</f>
        <v/>
      </c>
      <c r="I12" s="9">
        <f>F12-H12</f>
        <v/>
      </c>
    </row>
    <row r="13">
      <c r="A13" t="inlineStr">
        <is>
          <t>Pratik Tiwari</t>
        </is>
      </c>
      <c r="B13" s="9" t="n">
        <v>24</v>
      </c>
      <c r="C13" s="9" t="n">
        <v>0</v>
      </c>
      <c r="D13" s="9" t="n">
        <v>0</v>
      </c>
      <c r="E13" s="10">
        <f>IFERROR(B13/I13,"")</f>
        <v/>
      </c>
      <c r="F13" s="9" t="n">
        <v>50.4</v>
      </c>
      <c r="G13" s="6" t="n">
        <v>3</v>
      </c>
      <c r="H13" s="9">
        <f>F13*0.2</f>
        <v/>
      </c>
      <c r="I13" s="9">
        <f>F13-H13</f>
        <v/>
      </c>
    </row>
    <row r="14">
      <c r="A14" t="inlineStr">
        <is>
          <t>Altamash Heroli</t>
        </is>
      </c>
      <c r="B14" s="9" t="n">
        <v>0</v>
      </c>
      <c r="C14" s="9" t="n">
        <v>0</v>
      </c>
      <c r="D14" s="9" t="n">
        <v>65</v>
      </c>
      <c r="E14" s="10">
        <f>IFERROR(B14/I14,"")</f>
        <v/>
      </c>
      <c r="F14" s="9" t="n">
        <v>72</v>
      </c>
      <c r="G14" s="6" t="n">
        <v>0</v>
      </c>
      <c r="H14" s="9">
        <f>F14*0.2</f>
        <v/>
      </c>
      <c r="I14" s="9">
        <f>F14-H14</f>
        <v/>
      </c>
    </row>
    <row r="15">
      <c r="A15" t="inlineStr">
        <is>
          <t>Surabhi Choudhary</t>
        </is>
      </c>
      <c r="B15" s="9" t="n">
        <v>10</v>
      </c>
      <c r="C15" s="9" t="n">
        <v>0</v>
      </c>
      <c r="D15" s="9" t="n">
        <v>0</v>
      </c>
      <c r="E15" s="10">
        <f>IFERROR(B15/I15,"")</f>
        <v/>
      </c>
      <c r="F15" s="9" t="n">
        <v>50.4</v>
      </c>
      <c r="G15" s="6" t="n">
        <v>3</v>
      </c>
      <c r="H15" s="9">
        <f>F15*0.2</f>
        <v/>
      </c>
      <c r="I15" s="9">
        <f>F15-H15</f>
        <v/>
      </c>
    </row>
    <row r="16">
      <c r="A16" t="inlineStr">
        <is>
          <t>Ayesha Kamde</t>
        </is>
      </c>
      <c r="B16" s="9" t="n">
        <v>6</v>
      </c>
      <c r="C16" s="9" t="n">
        <v>0</v>
      </c>
      <c r="D16" s="9" t="n">
        <v>0</v>
      </c>
      <c r="E16" s="10">
        <f>IFERROR(B16/I16,"")</f>
        <v/>
      </c>
      <c r="F16" s="9" t="n">
        <v>64.8</v>
      </c>
      <c r="G16" s="6" t="n">
        <v>1</v>
      </c>
      <c r="H16" s="9">
        <f>F16*0.2</f>
        <v/>
      </c>
      <c r="I16" s="9">
        <f>F16-H16</f>
        <v/>
      </c>
    </row>
    <row r="17">
      <c r="A17" t="inlineStr">
        <is>
          <t>Amol Mithari</t>
        </is>
      </c>
      <c r="B17" s="9" t="n">
        <v>77.5</v>
      </c>
      <c r="C17" s="9" t="n">
        <v>0</v>
      </c>
      <c r="D17" s="9" t="n">
        <v>0</v>
      </c>
      <c r="E17" s="10">
        <f>IFERROR(B17/I17,"")</f>
        <v/>
      </c>
      <c r="F17" s="9" t="n">
        <v>50.4</v>
      </c>
      <c r="G17" s="6" t="n">
        <v>0</v>
      </c>
      <c r="H17" s="9">
        <f>F17*0.2</f>
        <v/>
      </c>
      <c r="I17" s="9">
        <f>F17-H17</f>
        <v/>
      </c>
    </row>
    <row r="18">
      <c r="A18" t="inlineStr">
        <is>
          <t>Amit Shete</t>
        </is>
      </c>
      <c r="B18" s="9" t="n">
        <v>3.5</v>
      </c>
      <c r="C18" s="9" t="n">
        <v>0</v>
      </c>
      <c r="D18" s="9" t="n">
        <v>0</v>
      </c>
      <c r="E18" s="10">
        <f>IFERROR(B18/I18,"")</f>
        <v/>
      </c>
      <c r="F18" s="9" t="n">
        <v>72</v>
      </c>
      <c r="G18" s="6" t="n">
        <v>0</v>
      </c>
      <c r="H18" s="9">
        <f>F18*0.2</f>
        <v/>
      </c>
      <c r="I18" s="9">
        <f>F18-H18</f>
        <v/>
      </c>
    </row>
    <row r="19">
      <c r="A19" t="inlineStr">
        <is>
          <t>Rachit Mishra</t>
        </is>
      </c>
      <c r="B19" s="9" t="n">
        <v>0</v>
      </c>
      <c r="C19" s="9" t="n">
        <v>0</v>
      </c>
      <c r="D19" s="9" t="n">
        <v>0</v>
      </c>
      <c r="E19" s="10">
        <f>IFERROR(B19/I19,"")</f>
        <v/>
      </c>
      <c r="F19" s="9" t="n">
        <v>28.8</v>
      </c>
      <c r="G19" s="6" t="n">
        <v>0</v>
      </c>
      <c r="H19" s="9">
        <f>F19*0.2</f>
        <v/>
      </c>
      <c r="I19" s="9">
        <f>F19-H19</f>
        <v/>
      </c>
    </row>
    <row r="20">
      <c r="A20" s="2" t="inlineStr">
        <is>
          <t>TOTAL</t>
        </is>
      </c>
      <c r="B20" s="9">
        <f>SUM(B2:B19)</f>
        <v/>
      </c>
      <c r="C20" s="9">
        <f>SUM(C2:C19)</f>
        <v/>
      </c>
      <c r="D20" s="9">
        <f>SUM(D2:D19)</f>
        <v/>
      </c>
      <c r="E20" s="10">
        <f>IFERROR(B20/I20,"")</f>
        <v/>
      </c>
      <c r="F20" s="9">
        <f>SUM(F2:F19)</f>
        <v/>
      </c>
      <c r="G20" s="6">
        <f>SUM(G2:G19)</f>
        <v/>
      </c>
      <c r="H20" s="9">
        <f>SUM(H2:H19)</f>
        <v/>
      </c>
      <c r="I20" s="9">
        <f>SUM(I2:I19)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60" customWidth="1" min="3" max="3"/>
    <col width="16" customWidth="1" min="4" max="4"/>
    <col width="14" customWidth="1" min="5" max="5"/>
    <col width="22" customWidth="1" min="6" max="6"/>
    <col width="18" customWidth="1" min="7" max="7"/>
    <col width="14" customWidth="1" min="8" max="8"/>
    <col width="10" customWidth="1" min="9" max="9"/>
    <col width="12" customWidth="1" min="10" max="10"/>
    <col width="12" customWidth="1" min="11" max="11"/>
    <col width="12" customWidth="1" min="12" max="12"/>
    <col width="18" customWidth="1" min="13" max="13"/>
    <col width="12" customWidth="1" min="14" max="14"/>
    <col width="12" customWidth="1" min="15" max="15"/>
    <col width="10" customWidth="1" min="16" max="16"/>
    <col width="18" customWidth="1" min="17" max="17"/>
    <col width="14" customWidth="1" min="18" max="18"/>
    <col width="16" customWidth="1" min="19" max="19"/>
  </cols>
  <sheetData>
    <row r="1">
      <c r="A1" s="3" t="inlineStr">
        <is>
          <t>Issue Type</t>
        </is>
      </c>
      <c r="B1" s="3" t="inlineStr">
        <is>
          <t>Issue key</t>
        </is>
      </c>
      <c r="C1" s="3" t="inlineStr">
        <is>
          <t>Summary</t>
        </is>
      </c>
      <c r="D1" s="3" t="inlineStr">
        <is>
          <t>Parent key</t>
        </is>
      </c>
      <c r="E1" s="3" t="inlineStr">
        <is>
          <t>Parent type</t>
        </is>
      </c>
      <c r="F1" s="3" t="inlineStr">
        <is>
          <t>Assignee</t>
        </is>
      </c>
      <c r="G1" s="3" t="inlineStr">
        <is>
          <t>Status</t>
        </is>
      </c>
      <c r="H1" s="3" t="inlineStr">
        <is>
          <t>Resolution</t>
        </is>
      </c>
      <c r="I1" s="3" t="inlineStr">
        <is>
          <t>Priority</t>
        </is>
      </c>
      <c r="J1" s="3" t="inlineStr">
        <is>
          <t>Created</t>
        </is>
      </c>
      <c r="K1" s="3" t="inlineStr">
        <is>
          <t>Resolved</t>
        </is>
      </c>
      <c r="L1" s="3" t="inlineStr">
        <is>
          <t>Updated</t>
        </is>
      </c>
      <c r="M1" s="3" t="inlineStr">
        <is>
          <t>Sprint</t>
        </is>
      </c>
      <c r="N1" s="3" t="inlineStr">
        <is>
          <t>Time Spent</t>
        </is>
      </c>
      <c r="O1" s="3" t="inlineStr">
        <is>
          <t>Original Est</t>
        </is>
      </c>
      <c r="P1" s="3" t="inlineStr">
        <is>
          <t>Project</t>
        </is>
      </c>
      <c r="Q1" s="3" t="inlineStr">
        <is>
          <t>Labels</t>
        </is>
      </c>
      <c r="R1" s="3" t="inlineStr">
        <is>
          <t>Blockers</t>
        </is>
      </c>
      <c r="S1" s="3" t="inlineStr">
        <is>
          <t>Added Mid-Sprint</t>
        </is>
      </c>
    </row>
    <row r="2">
      <c r="A2" s="20" t="inlineStr">
        <is>
          <t>Task</t>
        </is>
      </c>
      <c r="B2" s="21" t="inlineStr">
        <is>
          <t>FILTER-12250</t>
        </is>
      </c>
      <c r="C2" s="22" t="inlineStr">
        <is>
          <t>Migrate P0API DNS Test Suite for Custom Policy, Take Home Policy and PerIpPolicy for Sites to Use DNS Resolver</t>
        </is>
      </c>
      <c r="D2" s="20" t="inlineStr">
        <is>
          <t>FILTER-11735</t>
        </is>
      </c>
      <c r="E2" s="20" t="inlineStr">
        <is>
          <t>Epic</t>
        </is>
      </c>
      <c r="F2" s="20" t="inlineStr">
        <is>
          <t>Amol Mithari</t>
        </is>
      </c>
      <c r="G2" s="20" t="inlineStr">
        <is>
          <t>Closed</t>
        </is>
      </c>
      <c r="H2" s="20" t="inlineStr"/>
      <c r="I2" s="20" t="inlineStr">
        <is>
          <t>P3</t>
        </is>
      </c>
      <c r="J2" s="23" t="n">
        <v>46079</v>
      </c>
      <c r="K2" s="20" t="n"/>
      <c r="L2" s="23" t="n">
        <v>46086</v>
      </c>
      <c r="M2" s="20" t="inlineStr">
        <is>
          <t>sprint-Dolly</t>
        </is>
      </c>
      <c r="N2" s="24" t="n">
        <v>23</v>
      </c>
      <c r="O2" s="24" t="n">
        <v>1</v>
      </c>
      <c r="P2" s="20" t="inlineStr">
        <is>
          <t>FILTER</t>
        </is>
      </c>
      <c r="Q2" s="20" t="inlineStr">
        <is>
          <t>unplanned-sprint</t>
        </is>
      </c>
      <c r="R2" s="20" t="inlineStr"/>
      <c r="S2" s="25" t="inlineStr">
        <is>
          <t>YES</t>
        </is>
      </c>
    </row>
    <row r="3">
      <c r="A3" s="20" t="inlineStr">
        <is>
          <t>Task</t>
        </is>
      </c>
      <c r="B3" s="21" t="inlineStr">
        <is>
          <t>FILTER-12016</t>
        </is>
      </c>
      <c r="C3" s="22" t="inlineStr">
        <is>
          <t>POC for extension api fortification</t>
        </is>
      </c>
      <c r="D3" s="20" t="inlineStr"/>
      <c r="E3" s="20" t="inlineStr"/>
      <c r="F3" s="20" t="inlineStr">
        <is>
          <t>Ashish Modak</t>
        </is>
      </c>
      <c r="G3" s="20" t="inlineStr">
        <is>
          <t>Closed</t>
        </is>
      </c>
      <c r="H3" s="20" t="inlineStr"/>
      <c r="I3" s="20" t="inlineStr">
        <is>
          <t>P1</t>
        </is>
      </c>
      <c r="J3" s="23" t="n">
        <v>46064</v>
      </c>
      <c r="K3" s="20" t="n"/>
      <c r="L3" s="23" t="n">
        <v>46091</v>
      </c>
      <c r="M3" s="20" t="inlineStr">
        <is>
          <t>sprint-Dolly</t>
        </is>
      </c>
      <c r="N3" s="24" t="n">
        <v>24</v>
      </c>
      <c r="O3" s="24" t="n">
        <v>24</v>
      </c>
      <c r="P3" s="20" t="inlineStr">
        <is>
          <t>FILTER</t>
        </is>
      </c>
      <c r="Q3" s="20" t="inlineStr">
        <is>
          <t>2026-Tech-debt, unplanned-sprint</t>
        </is>
      </c>
      <c r="R3" s="20" t="inlineStr"/>
      <c r="S3" s="25" t="inlineStr">
        <is>
          <t>YES</t>
        </is>
      </c>
    </row>
    <row r="4">
      <c r="A4" s="20" t="inlineStr">
        <is>
          <t>Task</t>
        </is>
      </c>
      <c r="B4" s="21" t="inlineStr">
        <is>
          <t>FILTER-12130</t>
        </is>
      </c>
      <c r="C4" s="22" t="inlineStr">
        <is>
          <t>Add IWF changes to go broker and back-merge the requried PRs</t>
        </is>
      </c>
      <c r="D4" s="20" t="inlineStr"/>
      <c r="E4" s="20" t="inlineStr"/>
      <c r="F4" s="20" t="inlineStr">
        <is>
          <t>Ashish Modak</t>
        </is>
      </c>
      <c r="G4" s="20" t="inlineStr">
        <is>
          <t>Closed</t>
        </is>
      </c>
      <c r="H4" s="20" t="inlineStr"/>
      <c r="I4" s="20" t="inlineStr">
        <is>
          <t>P3</t>
        </is>
      </c>
      <c r="J4" s="23" t="n">
        <v>46076</v>
      </c>
      <c r="K4" s="20" t="n"/>
      <c r="L4" s="23" t="n">
        <v>46083</v>
      </c>
      <c r="M4" s="20" t="inlineStr">
        <is>
          <t>sprint-Dolly</t>
        </is>
      </c>
      <c r="N4" s="24" t="n">
        <v>6</v>
      </c>
      <c r="O4" s="24" t="n">
        <v>6</v>
      </c>
      <c r="P4" s="20" t="inlineStr">
        <is>
          <t>FILTER</t>
        </is>
      </c>
      <c r="Q4" s="20" t="inlineStr">
        <is>
          <t>unplanned-sprint</t>
        </is>
      </c>
      <c r="R4" s="20" t="inlineStr"/>
      <c r="S4" s="25" t="inlineStr">
        <is>
          <t>YES</t>
        </is>
      </c>
    </row>
    <row r="5">
      <c r="A5" s="20" t="inlineStr">
        <is>
          <t>Task</t>
        </is>
      </c>
      <c r="B5" s="21" t="inlineStr">
        <is>
          <t>FILTER-12131</t>
        </is>
      </c>
      <c r="C5" s="22" t="inlineStr">
        <is>
          <t>Create a document with target date for extension release</t>
        </is>
      </c>
      <c r="D5" s="20" t="inlineStr"/>
      <c r="E5" s="20" t="inlineStr"/>
      <c r="F5" s="20" t="inlineStr">
        <is>
          <t>Ashish Modak</t>
        </is>
      </c>
      <c r="G5" s="20" t="inlineStr">
        <is>
          <t>Closed</t>
        </is>
      </c>
      <c r="H5" s="20" t="inlineStr"/>
      <c r="I5" s="20" t="inlineStr">
        <is>
          <t>P3</t>
        </is>
      </c>
      <c r="J5" s="23" t="n">
        <v>46076</v>
      </c>
      <c r="K5" s="20" t="n"/>
      <c r="L5" s="23" t="n">
        <v>46083</v>
      </c>
      <c r="M5" s="20" t="inlineStr">
        <is>
          <t>sprint-Dolly</t>
        </is>
      </c>
      <c r="N5" s="24" t="n">
        <v>4</v>
      </c>
      <c r="O5" s="24" t="n">
        <v>4</v>
      </c>
      <c r="P5" s="20" t="inlineStr">
        <is>
          <t>FILTER</t>
        </is>
      </c>
      <c r="Q5" s="20" t="inlineStr">
        <is>
          <t>unplanned-sprint</t>
        </is>
      </c>
      <c r="R5" s="20" t="inlineStr"/>
      <c r="S5" s="25" t="inlineStr">
        <is>
          <t>YES</t>
        </is>
      </c>
    </row>
    <row r="6">
      <c r="A6" s="20" t="inlineStr">
        <is>
          <t>Task</t>
        </is>
      </c>
      <c r="B6" s="21" t="inlineStr">
        <is>
          <t>FILTER-12135</t>
        </is>
      </c>
      <c r="C6" s="22" t="inlineStr">
        <is>
          <t>Move JS extension code to sprint-master</t>
        </is>
      </c>
      <c r="D6" s="20" t="inlineStr"/>
      <c r="E6" s="20" t="inlineStr"/>
      <c r="F6" s="20" t="inlineStr">
        <is>
          <t>Ashish Modak</t>
        </is>
      </c>
      <c r="G6" s="20" t="inlineStr">
        <is>
          <t>Closed</t>
        </is>
      </c>
      <c r="H6" s="20" t="inlineStr"/>
      <c r="I6" s="20" t="inlineStr">
        <is>
          <t>P3</t>
        </is>
      </c>
      <c r="J6" s="23" t="n">
        <v>46076</v>
      </c>
      <c r="K6" s="20" t="n"/>
      <c r="L6" s="23" t="n">
        <v>46083</v>
      </c>
      <c r="M6" s="20" t="inlineStr">
        <is>
          <t>sprint-Dolly</t>
        </is>
      </c>
      <c r="N6" s="24" t="n">
        <v>4</v>
      </c>
      <c r="O6" s="24" t="n">
        <v>4</v>
      </c>
      <c r="P6" s="20" t="inlineStr">
        <is>
          <t>FILTER</t>
        </is>
      </c>
      <c r="Q6" s="20" t="inlineStr">
        <is>
          <t>unplanned-sprint</t>
        </is>
      </c>
      <c r="R6" s="20" t="inlineStr"/>
      <c r="S6" s="25" t="inlineStr">
        <is>
          <t>YES</t>
        </is>
      </c>
    </row>
    <row r="7">
      <c r="A7" s="20" t="inlineStr">
        <is>
          <t>Task</t>
        </is>
      </c>
      <c r="B7" s="21" t="inlineStr">
        <is>
          <t>FILTER-12309</t>
        </is>
      </c>
      <c r="C7" s="22" t="inlineStr">
        <is>
          <t>Verified access POC</t>
        </is>
      </c>
      <c r="D7" s="20" t="inlineStr"/>
      <c r="E7" s="20" t="inlineStr"/>
      <c r="F7" s="20" t="inlineStr">
        <is>
          <t>Ashish Modak</t>
        </is>
      </c>
      <c r="G7" s="20" t="inlineStr">
        <is>
          <t>Closed</t>
        </is>
      </c>
      <c r="H7" s="20" t="inlineStr"/>
      <c r="I7" s="20" t="inlineStr">
        <is>
          <t>P3</t>
        </is>
      </c>
      <c r="J7" s="23" t="n">
        <v>46083</v>
      </c>
      <c r="K7" s="20" t="n"/>
      <c r="L7" s="23" t="n">
        <v>46086</v>
      </c>
      <c r="M7" s="20" t="inlineStr">
        <is>
          <t>sprint-Dolly</t>
        </is>
      </c>
      <c r="N7" s="24" t="n">
        <v>12</v>
      </c>
      <c r="O7" s="24" t="n">
        <v>12</v>
      </c>
      <c r="P7" s="20" t="inlineStr">
        <is>
          <t>FILTER</t>
        </is>
      </c>
      <c r="Q7" s="20" t="inlineStr">
        <is>
          <t>unplanned-sprint</t>
        </is>
      </c>
      <c r="R7" s="20" t="inlineStr"/>
      <c r="S7" s="25" t="inlineStr">
        <is>
          <t>YES</t>
        </is>
      </c>
    </row>
    <row r="8">
      <c r="A8" s="20" t="inlineStr">
        <is>
          <t>Debug</t>
        </is>
      </c>
      <c r="B8" s="21" t="inlineStr">
        <is>
          <t>FILTER-12302</t>
        </is>
      </c>
      <c r="C8" s="22" t="inlineStr">
        <is>
          <t>RTQA5 debugging for SPAC &amp; DNS working state</t>
        </is>
      </c>
      <c r="D8" s="20" t="inlineStr"/>
      <c r="E8" s="20" t="inlineStr"/>
      <c r="F8" s="20" t="inlineStr">
        <is>
          <t>Ashish Temurnikar</t>
        </is>
      </c>
      <c r="G8" s="20" t="inlineStr">
        <is>
          <t>Closed</t>
        </is>
      </c>
      <c r="H8" s="20" t="inlineStr"/>
      <c r="I8" s="20" t="inlineStr">
        <is>
          <t>P3</t>
        </is>
      </c>
      <c r="J8" s="23" t="n">
        <v>46082</v>
      </c>
      <c r="K8" s="20" t="n"/>
      <c r="L8" s="23" t="n">
        <v>46083</v>
      </c>
      <c r="M8" s="20" t="inlineStr">
        <is>
          <t>sprint-Dolly</t>
        </is>
      </c>
      <c r="N8" s="24" t="n">
        <v>8</v>
      </c>
      <c r="O8" s="24" t="n">
        <v>8</v>
      </c>
      <c r="P8" s="20" t="inlineStr">
        <is>
          <t>FILTER</t>
        </is>
      </c>
      <c r="Q8" s="20" t="inlineStr">
        <is>
          <t>unplanned-sprint</t>
        </is>
      </c>
      <c r="R8" s="20" t="inlineStr"/>
      <c r="S8" s="25" t="inlineStr">
        <is>
          <t>YES</t>
        </is>
      </c>
    </row>
    <row r="9">
      <c r="A9" s="20" t="inlineStr">
        <is>
          <t>Debug</t>
        </is>
      </c>
      <c r="B9" s="21" t="inlineStr">
        <is>
          <t>FILTER-12303</t>
        </is>
      </c>
      <c r="C9" s="22" t="inlineStr">
        <is>
          <t>[sprox] sprox setup debugging on RTQA5</t>
        </is>
      </c>
      <c r="D9" s="20" t="inlineStr"/>
      <c r="E9" s="20" t="inlineStr"/>
      <c r="F9" s="20" t="inlineStr">
        <is>
          <t>Ashish Temurnikar</t>
        </is>
      </c>
      <c r="G9" s="20" t="inlineStr">
        <is>
          <t>Closed</t>
        </is>
      </c>
      <c r="H9" s="20" t="inlineStr"/>
      <c r="I9" s="20" t="inlineStr">
        <is>
          <t>P3</t>
        </is>
      </c>
      <c r="J9" s="23" t="n">
        <v>46082</v>
      </c>
      <c r="K9" s="20" t="n"/>
      <c r="L9" s="23" t="n">
        <v>46086</v>
      </c>
      <c r="M9" s="20" t="inlineStr">
        <is>
          <t>sprint-Dolly</t>
        </is>
      </c>
      <c r="N9" s="24" t="n">
        <v>16</v>
      </c>
      <c r="O9" s="24" t="n">
        <v>12</v>
      </c>
      <c r="P9" s="20" t="inlineStr">
        <is>
          <t>FILTER</t>
        </is>
      </c>
      <c r="Q9" s="20" t="inlineStr">
        <is>
          <t>unplanned-sprint</t>
        </is>
      </c>
      <c r="R9" s="20" t="inlineStr"/>
      <c r="S9" s="25" t="inlineStr">
        <is>
          <t>YES</t>
        </is>
      </c>
    </row>
    <row r="10">
      <c r="A10" s="20" t="inlineStr">
        <is>
          <t>Task</t>
        </is>
      </c>
      <c r="B10" s="21" t="inlineStr">
        <is>
          <t>FILTER-12070</t>
        </is>
      </c>
      <c r="C10" s="22" t="inlineStr">
        <is>
          <t>Phase 3: Upgrade @ngx-translate to latest for Support-tool, Filter, Aware and Cases, home-alone</t>
        </is>
      </c>
      <c r="D10" s="20" t="inlineStr"/>
      <c r="E10" s="20" t="inlineStr"/>
      <c r="F10" s="20" t="inlineStr">
        <is>
          <t>Harshada Kude</t>
        </is>
      </c>
      <c r="G10" s="20" t="inlineStr">
        <is>
          <t>Resolved</t>
        </is>
      </c>
      <c r="H10" s="20" t="inlineStr">
        <is>
          <t>Fixed</t>
        </is>
      </c>
      <c r="I10" s="20" t="inlineStr">
        <is>
          <t>P3</t>
        </is>
      </c>
      <c r="J10" s="23" t="n">
        <v>46069</v>
      </c>
      <c r="K10" s="23" t="n">
        <v>46076</v>
      </c>
      <c r="L10" s="23" t="n">
        <v>46093</v>
      </c>
      <c r="M10" s="20" t="inlineStr">
        <is>
          <t>sprint-Dolly</t>
        </is>
      </c>
      <c r="N10" s="24" t="n">
        <v>13</v>
      </c>
      <c r="O10" s="24" t="n">
        <v>24</v>
      </c>
      <c r="P10" s="20" t="inlineStr">
        <is>
          <t>FILTER</t>
        </is>
      </c>
      <c r="Q10" s="20" t="inlineStr"/>
      <c r="R10" s="20" t="inlineStr"/>
      <c r="S10" s="25" t="inlineStr">
        <is>
          <t>YES</t>
        </is>
      </c>
    </row>
    <row r="11">
      <c r="A11" s="20" t="inlineStr">
        <is>
          <t>Task</t>
        </is>
      </c>
      <c r="B11" s="21" t="inlineStr">
        <is>
          <t>FILTER-12318</t>
        </is>
      </c>
      <c r="C11" s="22" t="inlineStr">
        <is>
          <t>fix: breaking testcases for securly-extension repo</t>
        </is>
      </c>
      <c r="D11" s="20" t="inlineStr"/>
      <c r="E11" s="20" t="inlineStr"/>
      <c r="F11" s="20" t="inlineStr">
        <is>
          <t>Pratik Tiwari</t>
        </is>
      </c>
      <c r="G11" s="20" t="inlineStr">
        <is>
          <t>Closed</t>
        </is>
      </c>
      <c r="H11" s="20" t="inlineStr"/>
      <c r="I11" s="20" t="inlineStr">
        <is>
          <t>P3</t>
        </is>
      </c>
      <c r="J11" s="23" t="n">
        <v>46083</v>
      </c>
      <c r="K11" s="20" t="n"/>
      <c r="L11" s="23" t="n">
        <v>46128</v>
      </c>
      <c r="M11" s="20" t="inlineStr">
        <is>
          <t>sprint-Dolly</t>
        </is>
      </c>
      <c r="N11" s="24" t="n">
        <v>6</v>
      </c>
      <c r="O11" s="24" t="n">
        <v>6</v>
      </c>
      <c r="P11" s="20" t="inlineStr">
        <is>
          <t>FILTER</t>
        </is>
      </c>
      <c r="Q11" s="20" t="inlineStr">
        <is>
          <t>unplanned-sprint</t>
        </is>
      </c>
      <c r="R11" s="20" t="inlineStr"/>
      <c r="S11" s="25" t="inlineStr">
        <is>
          <t>YES</t>
        </is>
      </c>
    </row>
    <row r="12">
      <c r="A12" s="20" t="inlineStr">
        <is>
          <t>Task</t>
        </is>
      </c>
      <c r="B12" s="21" t="inlineStr">
        <is>
          <t>FDSE-161</t>
        </is>
      </c>
      <c r="C12" s="22" t="inlineStr">
        <is>
          <t>Search without chip but with auto-complete component implementation</t>
        </is>
      </c>
      <c r="D12" s="20" t="inlineStr">
        <is>
          <t>FDSE-174</t>
        </is>
      </c>
      <c r="E12" s="20" t="inlineStr">
        <is>
          <t>Epic</t>
        </is>
      </c>
      <c r="F12" s="20" t="inlineStr">
        <is>
          <t>Swaroop Chavhan</t>
        </is>
      </c>
      <c r="G12" s="20" t="inlineStr">
        <is>
          <t>Closed</t>
        </is>
      </c>
      <c r="H12" s="20" t="inlineStr">
        <is>
          <t>Fixed</t>
        </is>
      </c>
      <c r="I12" s="20" t="inlineStr">
        <is>
          <t>P3</t>
        </is>
      </c>
      <c r="J12" s="23" t="n">
        <v>46066</v>
      </c>
      <c r="K12" s="23" t="n">
        <v>46080</v>
      </c>
      <c r="L12" s="23" t="n">
        <v>46127</v>
      </c>
      <c r="M12" s="20" t="inlineStr">
        <is>
          <t>sprint-Dolly</t>
        </is>
      </c>
      <c r="N12" s="24" t="n">
        <v>32</v>
      </c>
      <c r="O12" s="24" t="n">
        <v>32</v>
      </c>
      <c r="P12" s="20" t="inlineStr">
        <is>
          <t>FDSE</t>
        </is>
      </c>
      <c r="Q12" s="20" t="inlineStr">
        <is>
          <t>Capitalized-Feature, product-filter</t>
        </is>
      </c>
      <c r="R12" s="20" t="inlineStr"/>
      <c r="S12" s="25" t="inlineStr">
        <is>
          <t>YES</t>
        </is>
      </c>
    </row>
    <row r="13">
      <c r="A13" s="20" t="inlineStr">
        <is>
          <t>Task</t>
        </is>
      </c>
      <c r="B13" s="21" t="inlineStr">
        <is>
          <t>FILTER-12146</t>
        </is>
      </c>
      <c r="C13" s="22" t="inlineStr">
        <is>
          <t>Helping team with Accessibility</t>
        </is>
      </c>
      <c r="D13" s="20" t="inlineStr"/>
      <c r="E13" s="20" t="inlineStr"/>
      <c r="F13" s="20" t="inlineStr">
        <is>
          <t>Swaroop Chavhan</t>
        </is>
      </c>
      <c r="G13" s="20" t="inlineStr">
        <is>
          <t>Closed</t>
        </is>
      </c>
      <c r="H13" s="20" t="inlineStr">
        <is>
          <t>Fixed</t>
        </is>
      </c>
      <c r="I13" s="20" t="inlineStr">
        <is>
          <t>P3</t>
        </is>
      </c>
      <c r="J13" s="23" t="n">
        <v>46077</v>
      </c>
      <c r="K13" s="23" t="n">
        <v>46084</v>
      </c>
      <c r="L13" s="23" t="n">
        <v>46087</v>
      </c>
      <c r="M13" s="20" t="inlineStr">
        <is>
          <t>sprint-Dolly</t>
        </is>
      </c>
      <c r="N13" s="24" t="n">
        <v>9</v>
      </c>
      <c r="O13" s="24" t="n">
        <v>10</v>
      </c>
      <c r="P13" s="20" t="inlineStr">
        <is>
          <t>FILTER</t>
        </is>
      </c>
      <c r="Q13" s="20" t="inlineStr">
        <is>
          <t>unplanned-sprint</t>
        </is>
      </c>
      <c r="R13" s="20" t="inlineStr"/>
      <c r="S13" s="25" t="inlineStr">
        <is>
          <t>YES</t>
        </is>
      </c>
    </row>
    <row r="14">
      <c r="A14" s="20" t="inlineStr">
        <is>
          <t>Debug</t>
        </is>
      </c>
      <c r="B14" s="21" t="inlineStr">
        <is>
          <t>FILTER-12129</t>
        </is>
      </c>
      <c r="C14" s="22" t="inlineStr">
        <is>
          <t>Sync crextn_client code changes to securly_extension</t>
        </is>
      </c>
      <c r="D14" s="20" t="inlineStr"/>
      <c r="E14" s="20" t="inlineStr"/>
      <c r="F14" s="20" t="inlineStr">
        <is>
          <t>Vaibhav Kumbhar</t>
        </is>
      </c>
      <c r="G14" s="20" t="inlineStr">
        <is>
          <t>Closed without action</t>
        </is>
      </c>
      <c r="H14" s="20" t="inlineStr"/>
      <c r="I14" s="20" t="inlineStr">
        <is>
          <t>P3</t>
        </is>
      </c>
      <c r="J14" s="23" t="n">
        <v>46075</v>
      </c>
      <c r="K14" s="20" t="n"/>
      <c r="L14" s="23" t="n">
        <v>46075</v>
      </c>
      <c r="M14" s="20" t="inlineStr">
        <is>
          <t>sprint-Dolly</t>
        </is>
      </c>
      <c r="N14" s="24" t="n">
        <v>4</v>
      </c>
      <c r="O14" s="24" t="n">
        <v>4</v>
      </c>
      <c r="P14" s="20" t="inlineStr">
        <is>
          <t>FILTER</t>
        </is>
      </c>
      <c r="Q14" s="20" t="inlineStr">
        <is>
          <t>unplanned-sprint</t>
        </is>
      </c>
      <c r="R14" s="20" t="inlineStr"/>
      <c r="S14" s="25" t="inlineStr">
        <is>
          <t>YES</t>
        </is>
      </c>
    </row>
    <row r="15">
      <c r="A15" t="inlineStr">
        <is>
          <t>QA</t>
        </is>
      </c>
      <c r="B15" s="26" t="inlineStr">
        <is>
          <t>FILTER-12030</t>
        </is>
      </c>
      <c r="C15" s="18" t="inlineStr">
        <is>
          <t>Verify fix – Admins unable to access Filter UI – "We're unable to locate the user"</t>
        </is>
      </c>
      <c r="D15" t="inlineStr">
        <is>
          <t>FILTER-11982</t>
        </is>
      </c>
      <c r="E15" t="inlineStr">
        <is>
          <t>Escape Defect</t>
        </is>
      </c>
      <c r="F15" t="inlineStr">
        <is>
          <t>Altamash Heroli</t>
        </is>
      </c>
      <c r="G15" t="inlineStr">
        <is>
          <t>Closed without action</t>
        </is>
      </c>
      <c r="H15" t="inlineStr"/>
      <c r="I15" t="inlineStr">
        <is>
          <t>P3</t>
        </is>
      </c>
      <c r="J15" s="27" t="n">
        <v>46064</v>
      </c>
      <c r="L15" s="27" t="n">
        <v>46075</v>
      </c>
      <c r="M15" t="inlineStr">
        <is>
          <t>sprint-Dolly</t>
        </is>
      </c>
      <c r="N15" s="9" t="n">
        <v>0</v>
      </c>
      <c r="O15" s="9" t="n">
        <v>2</v>
      </c>
      <c r="P15" t="inlineStr">
        <is>
          <t>FILTER</t>
        </is>
      </c>
      <c r="Q15" t="inlineStr"/>
      <c r="R15" t="inlineStr"/>
      <c r="S15" t="inlineStr"/>
    </row>
    <row r="16">
      <c r="A16" t="inlineStr">
        <is>
          <t>Automation</t>
        </is>
      </c>
      <c r="B16" s="26" t="inlineStr">
        <is>
          <t>FILTER-11158</t>
        </is>
      </c>
      <c r="C16" s="18" t="inlineStr">
        <is>
          <t>Validate Account Deletion Request Expiry Page Load</t>
        </is>
      </c>
      <c r="D16" t="inlineStr">
        <is>
          <t>FILTER-10227</t>
        </is>
      </c>
      <c r="E16" t="inlineStr">
        <is>
          <t>Defect</t>
        </is>
      </c>
      <c r="F16" t="inlineStr">
        <is>
          <t>Amit Shete</t>
        </is>
      </c>
      <c r="G16" t="inlineStr">
        <is>
          <t>Done</t>
        </is>
      </c>
      <c r="H16" t="inlineStr"/>
      <c r="I16" t="inlineStr">
        <is>
          <t>P2</t>
        </is>
      </c>
      <c r="J16" s="27" t="n">
        <v>45993</v>
      </c>
      <c r="L16" s="27" t="n">
        <v>46083</v>
      </c>
      <c r="M16" t="inlineStr">
        <is>
          <t>sprint-Dolly</t>
        </is>
      </c>
      <c r="N16" s="9" t="n">
        <v>3.5</v>
      </c>
      <c r="O16" s="9" t="n">
        <v>4</v>
      </c>
      <c r="P16" t="inlineStr">
        <is>
          <t>FILTER</t>
        </is>
      </c>
      <c r="Q16" t="inlineStr"/>
      <c r="R16" t="inlineStr"/>
      <c r="S16" t="inlineStr"/>
    </row>
    <row r="17">
      <c r="A17" t="inlineStr">
        <is>
          <t>QA</t>
        </is>
      </c>
      <c r="B17" s="26" t="inlineStr">
        <is>
          <t>FILTER-11205</t>
        </is>
      </c>
      <c r="C17" s="18" t="inlineStr">
        <is>
          <t>Manual QA Validation for AirPrint Failure on iOS 18 with MDM-Pushed SmartPAC</t>
        </is>
      </c>
      <c r="D17" t="inlineStr">
        <is>
          <t>FILTER-6994</t>
        </is>
      </c>
      <c r="E17" t="inlineStr">
        <is>
          <t>Escape Defect</t>
        </is>
      </c>
      <c r="F17" t="inlineStr">
        <is>
          <t>Amit Shete</t>
        </is>
      </c>
      <c r="G17" t="inlineStr">
        <is>
          <t>QA Verified</t>
        </is>
      </c>
      <c r="H17" t="inlineStr"/>
      <c r="I17" t="inlineStr">
        <is>
          <t>P2</t>
        </is>
      </c>
      <c r="J17" s="27" t="n">
        <v>45994</v>
      </c>
      <c r="L17" s="27" t="n">
        <v>46084</v>
      </c>
      <c r="M17" t="inlineStr">
        <is>
          <t>sprint-Dolly</t>
        </is>
      </c>
      <c r="N17" s="9" t="n">
        <v>0</v>
      </c>
      <c r="O17" s="9" t="n">
        <v>3</v>
      </c>
      <c r="P17" t="inlineStr">
        <is>
          <t>FILTER</t>
        </is>
      </c>
      <c r="Q17" t="inlineStr"/>
      <c r="R17" t="inlineStr"/>
      <c r="S17" t="inlineStr"/>
    </row>
    <row r="18">
      <c r="A18" t="inlineStr">
        <is>
          <t>Automation</t>
        </is>
      </c>
      <c r="B18" s="26" t="inlineStr">
        <is>
          <t>FILTER-11174</t>
        </is>
      </c>
      <c r="C18" s="18" t="inlineStr">
        <is>
          <t>Fix YouTube Category Bypass via Google Videos Tab</t>
        </is>
      </c>
      <c r="D18" t="inlineStr">
        <is>
          <t>FILTER-6620</t>
        </is>
      </c>
      <c r="E18" t="inlineStr">
        <is>
          <t>Support Escalation (OLD)</t>
        </is>
      </c>
      <c r="F18" t="inlineStr">
        <is>
          <t>Amol Mithari</t>
        </is>
      </c>
      <c r="G18" t="inlineStr">
        <is>
          <t>Done</t>
        </is>
      </c>
      <c r="H18" t="inlineStr"/>
      <c r="I18" t="inlineStr">
        <is>
          <t>P3</t>
        </is>
      </c>
      <c r="J18" s="27" t="n">
        <v>45993</v>
      </c>
      <c r="L18" s="27" t="n">
        <v>46083</v>
      </c>
      <c r="M18" t="inlineStr">
        <is>
          <t>sprint-Dolly</t>
        </is>
      </c>
      <c r="N18" s="9" t="n">
        <v>8.5</v>
      </c>
      <c r="O18" s="9" t="n">
        <v>6</v>
      </c>
      <c r="P18" t="inlineStr">
        <is>
          <t>FILTER</t>
        </is>
      </c>
      <c r="Q18" t="inlineStr"/>
      <c r="R18" t="inlineStr"/>
      <c r="S18" t="inlineStr"/>
    </row>
    <row r="19">
      <c r="A19" t="inlineStr">
        <is>
          <t>Task</t>
        </is>
      </c>
      <c r="B19" s="26" t="inlineStr">
        <is>
          <t>FILTER-12043</t>
        </is>
      </c>
      <c r="C19" s="18" t="inlineStr">
        <is>
          <t>Migrate P0API DNS Test Suite for All Search Engines to Use DNS Resolver</t>
        </is>
      </c>
      <c r="D19" t="inlineStr">
        <is>
          <t>FILTER-11735</t>
        </is>
      </c>
      <c r="E19" t="inlineStr">
        <is>
          <t>Epic</t>
        </is>
      </c>
      <c r="F19" t="inlineStr">
        <is>
          <t>Amol Mithari</t>
        </is>
      </c>
      <c r="G19" t="inlineStr">
        <is>
          <t>Closed</t>
        </is>
      </c>
      <c r="H19" t="inlineStr"/>
      <c r="I19" t="inlineStr">
        <is>
          <t>P3</t>
        </is>
      </c>
      <c r="J19" s="27" t="n">
        <v>46065</v>
      </c>
      <c r="L19" s="27" t="n">
        <v>46086</v>
      </c>
      <c r="M19" t="inlineStr">
        <is>
          <t>sprint-Dolly</t>
        </is>
      </c>
      <c r="N19" s="9" t="n">
        <v>1</v>
      </c>
      <c r="O19" s="9" t="n">
        <v>1</v>
      </c>
      <c r="P19" t="inlineStr">
        <is>
          <t>FILTER</t>
        </is>
      </c>
      <c r="Q19" t="inlineStr"/>
      <c r="R19" t="inlineStr"/>
      <c r="S19" t="inlineStr"/>
    </row>
    <row r="20">
      <c r="A20" t="inlineStr">
        <is>
          <t>Automation</t>
        </is>
      </c>
      <c r="B20" s="26" t="inlineStr">
        <is>
          <t>FILTER-12044</t>
        </is>
      </c>
      <c r="C20" s="18" t="inlineStr">
        <is>
          <t>Automation - Migrate P0API DNS Test Suite for All Search Engines to Use DNS Resolver</t>
        </is>
      </c>
      <c r="D20" t="inlineStr">
        <is>
          <t>FILTER-12043</t>
        </is>
      </c>
      <c r="E20" t="inlineStr">
        <is>
          <t>Task</t>
        </is>
      </c>
      <c r="F20" t="inlineStr">
        <is>
          <t>Amol Mithari</t>
        </is>
      </c>
      <c r="G20" t="inlineStr">
        <is>
          <t>Done</t>
        </is>
      </c>
      <c r="H20" t="inlineStr"/>
      <c r="I20" t="inlineStr">
        <is>
          <t>P3</t>
        </is>
      </c>
      <c r="J20" s="27" t="n">
        <v>46065</v>
      </c>
      <c r="L20" s="27" t="n">
        <v>46080</v>
      </c>
      <c r="M20" t="inlineStr">
        <is>
          <t>sprint-Dolly</t>
        </is>
      </c>
      <c r="N20" s="9" t="n">
        <v>22</v>
      </c>
      <c r="O20" s="9" t="n">
        <v>24</v>
      </c>
      <c r="P20" t="inlineStr">
        <is>
          <t>FILTER</t>
        </is>
      </c>
      <c r="Q20" t="inlineStr"/>
      <c r="R20" t="inlineStr"/>
      <c r="S20" t="inlineStr"/>
    </row>
    <row r="21">
      <c r="A21" t="inlineStr">
        <is>
          <t>Automation</t>
        </is>
      </c>
      <c r="B21" s="26" t="inlineStr">
        <is>
          <t>FILTER-12251</t>
        </is>
      </c>
      <c r="C21" s="18" t="inlineStr">
        <is>
          <t>Migrate P0API DNS Test Suite for Custom Policy</t>
        </is>
      </c>
      <c r="D21" t="inlineStr">
        <is>
          <t>FILTER-12250</t>
        </is>
      </c>
      <c r="E21" t="inlineStr">
        <is>
          <t>Task</t>
        </is>
      </c>
      <c r="F21" t="inlineStr">
        <is>
          <t>Amol Mithari</t>
        </is>
      </c>
      <c r="G21" t="inlineStr">
        <is>
          <t>Done</t>
        </is>
      </c>
      <c r="H21" t="inlineStr"/>
      <c r="I21" t="inlineStr">
        <is>
          <t>P3</t>
        </is>
      </c>
      <c r="J21" s="27" t="n">
        <v>46079</v>
      </c>
      <c r="L21" s="27" t="n">
        <v>46080</v>
      </c>
      <c r="M21" t="inlineStr">
        <is>
          <t>sprint-Dolly</t>
        </is>
      </c>
      <c r="N21" s="9" t="n">
        <v>8</v>
      </c>
      <c r="O21" s="9" t="n">
        <v>8</v>
      </c>
      <c r="P21" t="inlineStr">
        <is>
          <t>FILTER</t>
        </is>
      </c>
      <c r="Q21" t="inlineStr"/>
      <c r="R21" t="inlineStr"/>
      <c r="S21" t="inlineStr"/>
    </row>
    <row r="22">
      <c r="A22" t="inlineStr">
        <is>
          <t>Automation</t>
        </is>
      </c>
      <c r="B22" s="26" t="inlineStr">
        <is>
          <t>FILTER-12252</t>
        </is>
      </c>
      <c r="C22" s="18" t="inlineStr">
        <is>
          <t>Migrate P0API DNS Test Suite for Take Home Policy</t>
        </is>
      </c>
      <c r="D22" t="inlineStr">
        <is>
          <t>FILTER-12250</t>
        </is>
      </c>
      <c r="E22" t="inlineStr">
        <is>
          <t>Task</t>
        </is>
      </c>
      <c r="F22" t="inlineStr">
        <is>
          <t>Amol Mithari</t>
        </is>
      </c>
      <c r="G22" t="inlineStr">
        <is>
          <t>Done</t>
        </is>
      </c>
      <c r="H22" t="inlineStr"/>
      <c r="I22" t="inlineStr">
        <is>
          <t>P3</t>
        </is>
      </c>
      <c r="J22" s="27" t="n">
        <v>46079</v>
      </c>
      <c r="L22" s="27" t="n">
        <v>46080</v>
      </c>
      <c r="M22" t="inlineStr">
        <is>
          <t>sprint-Dolly</t>
        </is>
      </c>
      <c r="N22" s="9" t="n">
        <v>7</v>
      </c>
      <c r="O22" s="9" t="n">
        <v>8</v>
      </c>
      <c r="P22" t="inlineStr">
        <is>
          <t>FILTER</t>
        </is>
      </c>
      <c r="Q22" t="inlineStr"/>
      <c r="R22" t="inlineStr"/>
      <c r="S22" t="inlineStr"/>
    </row>
    <row r="23">
      <c r="A23" t="inlineStr">
        <is>
          <t>Automation</t>
        </is>
      </c>
      <c r="B23" s="26" t="inlineStr">
        <is>
          <t>FILTER-12253</t>
        </is>
      </c>
      <c r="C23" s="18" t="inlineStr">
        <is>
          <t>Migrate P0API DNS Test Suite for perIP Policy</t>
        </is>
      </c>
      <c r="D23" t="inlineStr">
        <is>
          <t>FILTER-12250</t>
        </is>
      </c>
      <c r="E23" t="inlineStr">
        <is>
          <t>Task</t>
        </is>
      </c>
      <c r="F23" t="inlineStr">
        <is>
          <t>Amol Mithari</t>
        </is>
      </c>
      <c r="G23" t="inlineStr">
        <is>
          <t>Done</t>
        </is>
      </c>
      <c r="H23" t="inlineStr"/>
      <c r="I23" t="inlineStr">
        <is>
          <t>P3</t>
        </is>
      </c>
      <c r="J23" s="27" t="n">
        <v>46079</v>
      </c>
      <c r="L23" s="27" t="n">
        <v>46080</v>
      </c>
      <c r="M23" t="inlineStr">
        <is>
          <t>sprint-Dolly</t>
        </is>
      </c>
      <c r="N23" s="9" t="n">
        <v>8</v>
      </c>
      <c r="O23" s="9" t="n">
        <v>8</v>
      </c>
      <c r="P23" t="inlineStr">
        <is>
          <t>FILTER</t>
        </is>
      </c>
      <c r="Q23" t="inlineStr"/>
      <c r="R23" t="inlineStr"/>
      <c r="S23" t="inlineStr"/>
    </row>
    <row r="24">
      <c r="A24" t="inlineStr">
        <is>
          <t>Dev</t>
        </is>
      </c>
      <c r="B24" s="26" t="inlineStr">
        <is>
          <t>FILTER-11490</t>
        </is>
      </c>
      <c r="C24" s="18" t="inlineStr">
        <is>
          <t>Fix Expiry Page Timezone (IST to UTC) and Update Headline Formatting</t>
        </is>
      </c>
      <c r="D24" t="inlineStr">
        <is>
          <t>FILTER-10227</t>
        </is>
      </c>
      <c r="E24" t="inlineStr">
        <is>
          <t>Defect</t>
        </is>
      </c>
      <c r="F24" t="inlineStr">
        <is>
          <t>Arun Thakur</t>
        </is>
      </c>
      <c r="G24" t="inlineStr">
        <is>
          <t>Done</t>
        </is>
      </c>
      <c r="H24" t="inlineStr"/>
      <c r="I24" t="inlineStr">
        <is>
          <t>P2</t>
        </is>
      </c>
      <c r="J24" s="27" t="n">
        <v>46010</v>
      </c>
      <c r="L24" s="27" t="n">
        <v>46077</v>
      </c>
      <c r="M24" t="inlineStr">
        <is>
          <t>sprint-Dolly</t>
        </is>
      </c>
      <c r="N24" s="9" t="n">
        <v>4</v>
      </c>
      <c r="O24" s="9" t="n">
        <v>4</v>
      </c>
      <c r="P24" t="inlineStr">
        <is>
          <t>FILTER</t>
        </is>
      </c>
      <c r="Q24" t="inlineStr"/>
      <c r="R24" t="inlineStr"/>
      <c r="S24" t="inlineStr"/>
    </row>
    <row r="25">
      <c r="A25" t="inlineStr">
        <is>
          <t>Dev</t>
        </is>
      </c>
      <c r="B25" s="26" t="inlineStr">
        <is>
          <t>FILTER-11788</t>
        </is>
      </c>
      <c r="C25" s="18" t="inlineStr">
        <is>
          <t>Creating task for Dev triage</t>
        </is>
      </c>
      <c r="D25" t="inlineStr">
        <is>
          <t>FILTER-11819</t>
        </is>
      </c>
      <c r="E25" t="inlineStr">
        <is>
          <t>Task</t>
        </is>
      </c>
      <c r="F25" t="inlineStr">
        <is>
          <t>Ashish Modak</t>
        </is>
      </c>
      <c r="G25" t="inlineStr">
        <is>
          <t>Done</t>
        </is>
      </c>
      <c r="H25" t="inlineStr"/>
      <c r="I25" t="inlineStr">
        <is>
          <t>P2</t>
        </is>
      </c>
      <c r="J25" s="27" t="n">
        <v>46045</v>
      </c>
      <c r="L25" s="27" t="n">
        <v>46128</v>
      </c>
      <c r="M25" t="inlineStr">
        <is>
          <t>sprint-Dolly</t>
        </is>
      </c>
      <c r="N25" s="9" t="n">
        <v>8</v>
      </c>
      <c r="O25" s="9" t="n">
        <v>8</v>
      </c>
      <c r="P25" t="inlineStr">
        <is>
          <t>FILTER</t>
        </is>
      </c>
      <c r="Q25" t="inlineStr"/>
      <c r="R25" t="inlineStr"/>
      <c r="S25" t="inlineStr"/>
    </row>
    <row r="26">
      <c r="A26" t="inlineStr">
        <is>
          <t>Dev</t>
        </is>
      </c>
      <c r="B26" s="26" t="inlineStr">
        <is>
          <t>FILTER-12066</t>
        </is>
      </c>
      <c r="C26" s="18" t="inlineStr">
        <is>
          <t>DEV - Investigate and Mitigate Potential IWF Data Security Breach</t>
        </is>
      </c>
      <c r="D26" t="inlineStr">
        <is>
          <t>FILTER-12065</t>
        </is>
      </c>
      <c r="E26" t="inlineStr">
        <is>
          <t>Escape Defect</t>
        </is>
      </c>
      <c r="F26" t="inlineStr">
        <is>
          <t>Ashish Modak</t>
        </is>
      </c>
      <c r="G26" t="inlineStr">
        <is>
          <t>Done</t>
        </is>
      </c>
      <c r="H26" t="inlineStr"/>
      <c r="I26" t="inlineStr">
        <is>
          <t>P1</t>
        </is>
      </c>
      <c r="J26" s="27" t="n">
        <v>46069</v>
      </c>
      <c r="L26" s="27" t="n">
        <v>46071</v>
      </c>
      <c r="M26" t="inlineStr">
        <is>
          <t>sprint-Dolly</t>
        </is>
      </c>
      <c r="N26" s="9" t="n">
        <v>8</v>
      </c>
      <c r="O26" s="9" t="n">
        <v>8</v>
      </c>
      <c r="P26" t="inlineStr">
        <is>
          <t>FILTER</t>
        </is>
      </c>
      <c r="Q26" t="inlineStr"/>
      <c r="R26" t="inlineStr"/>
      <c r="S26" t="inlineStr"/>
    </row>
    <row r="27">
      <c r="A27" t="inlineStr">
        <is>
          <t>Dev</t>
        </is>
      </c>
      <c r="B27" s="26" t="inlineStr">
        <is>
          <t>FILTER-11390</t>
        </is>
      </c>
      <c r="C27" s="18" t="inlineStr">
        <is>
          <t>Investigate/Fix AirPrint Failure on iOS 18 Managed iPads (JAMF/Mosyle) due to MDM-Pushed SmartPAC</t>
        </is>
      </c>
      <c r="D27" t="inlineStr">
        <is>
          <t>FILTER-6994</t>
        </is>
      </c>
      <c r="E27" t="inlineStr">
        <is>
          <t>Escape Defect</t>
        </is>
      </c>
      <c r="F27" t="inlineStr">
        <is>
          <t>Ashish Temurnikar</t>
        </is>
      </c>
      <c r="G27" t="inlineStr">
        <is>
          <t>Done</t>
        </is>
      </c>
      <c r="H27" t="inlineStr"/>
      <c r="I27" t="inlineStr">
        <is>
          <t>P2</t>
        </is>
      </c>
      <c r="J27" s="27" t="n">
        <v>46000</v>
      </c>
      <c r="L27" s="27" t="n">
        <v>46078</v>
      </c>
      <c r="M27" t="inlineStr">
        <is>
          <t>sprint-Dolly</t>
        </is>
      </c>
      <c r="N27" s="9" t="n">
        <v>20</v>
      </c>
      <c r="O27" s="9" t="n">
        <v>16</v>
      </c>
      <c r="P27" t="inlineStr">
        <is>
          <t>FILTER</t>
        </is>
      </c>
      <c r="Q27" t="inlineStr">
        <is>
          <t>jira_added, jira_done, jira_escalated, jira_open</t>
        </is>
      </c>
      <c r="R27" t="inlineStr"/>
      <c r="S27" t="inlineStr"/>
    </row>
    <row r="28">
      <c r="A28" t="inlineStr">
        <is>
          <t>Task</t>
        </is>
      </c>
      <c r="B28" s="26" t="inlineStr">
        <is>
          <t>FILTER-11713</t>
        </is>
      </c>
      <c r="C28" s="18" t="inlineStr">
        <is>
          <t xml:space="preserve">[sprox] Securly cookie creation logic implementation </t>
        </is>
      </c>
      <c r="D28" t="inlineStr">
        <is>
          <t>FILTER-8230</t>
        </is>
      </c>
      <c r="E28" t="inlineStr">
        <is>
          <t>Epic</t>
        </is>
      </c>
      <c r="F28" t="inlineStr">
        <is>
          <t>Ashish Temurnikar</t>
        </is>
      </c>
      <c r="G28" t="inlineStr">
        <is>
          <t>Closed</t>
        </is>
      </c>
      <c r="H28" t="inlineStr"/>
      <c r="I28" t="inlineStr">
        <is>
          <t>P3</t>
        </is>
      </c>
      <c r="J28" s="27" t="n">
        <v>46041</v>
      </c>
      <c r="L28" s="27" t="n">
        <v>46086</v>
      </c>
      <c r="M28" t="inlineStr">
        <is>
          <t>sprint-Dolly</t>
        </is>
      </c>
      <c r="N28" s="9" t="n">
        <v>20</v>
      </c>
      <c r="O28" s="9" t="n">
        <v>8</v>
      </c>
      <c r="P28" t="inlineStr">
        <is>
          <t>FILTER</t>
        </is>
      </c>
      <c r="Q28" t="inlineStr"/>
      <c r="R28" t="inlineStr"/>
      <c r="S28" t="inlineStr"/>
    </row>
    <row r="29">
      <c r="A29" t="inlineStr">
        <is>
          <t>Dev</t>
        </is>
      </c>
      <c r="B29" s="26" t="inlineStr">
        <is>
          <t>FILTER-11722</t>
        </is>
      </c>
      <c r="C29" s="18" t="inlineStr">
        <is>
          <t>[sprox] Securly cookie creation logic implementation</t>
        </is>
      </c>
      <c r="D29" t="inlineStr">
        <is>
          <t>FILTER-11713</t>
        </is>
      </c>
      <c r="E29" t="inlineStr">
        <is>
          <t>Task</t>
        </is>
      </c>
      <c r="F29" t="inlineStr">
        <is>
          <t>Ashish Temurnikar</t>
        </is>
      </c>
      <c r="G29" t="inlineStr">
        <is>
          <t>Done</t>
        </is>
      </c>
      <c r="H29" t="inlineStr"/>
      <c r="I29" t="inlineStr">
        <is>
          <t>P3</t>
        </is>
      </c>
      <c r="J29" s="27" t="n">
        <v>46041</v>
      </c>
      <c r="L29" s="27" t="n">
        <v>46083</v>
      </c>
      <c r="M29" t="inlineStr">
        <is>
          <t>sprint-Dolly</t>
        </is>
      </c>
      <c r="N29" s="9" t="n">
        <v>20</v>
      </c>
      <c r="O29" s="9" t="n">
        <v>8</v>
      </c>
      <c r="P29" t="inlineStr">
        <is>
          <t>FILTER</t>
        </is>
      </c>
      <c r="Q29" t="inlineStr"/>
      <c r="R29" t="inlineStr"/>
      <c r="S29" t="inlineStr"/>
    </row>
    <row r="30">
      <c r="A30" t="inlineStr">
        <is>
          <t>QA</t>
        </is>
      </c>
      <c r="B30" s="26" t="inlineStr">
        <is>
          <t>FILTER-11175</t>
        </is>
      </c>
      <c r="C30" s="18" t="inlineStr">
        <is>
          <t>Manual QA Validation for YouTube Category Block Bypass via Google Video Tab</t>
        </is>
      </c>
      <c r="D30" t="inlineStr">
        <is>
          <t>FILTER-6620</t>
        </is>
      </c>
      <c r="E30" t="inlineStr">
        <is>
          <t>Support Escalation (OLD)</t>
        </is>
      </c>
      <c r="F30" t="inlineStr">
        <is>
          <t>Ayesha Kamde</t>
        </is>
      </c>
      <c r="G30" t="inlineStr">
        <is>
          <t>Done</t>
        </is>
      </c>
      <c r="H30" t="inlineStr"/>
      <c r="I30" t="inlineStr">
        <is>
          <t>P3</t>
        </is>
      </c>
      <c r="J30" s="27" t="n">
        <v>45993</v>
      </c>
      <c r="L30" s="27" t="n">
        <v>46057</v>
      </c>
      <c r="M30" t="inlineStr">
        <is>
          <t>sprint-Dolly</t>
        </is>
      </c>
      <c r="N30" s="9" t="n">
        <v>6</v>
      </c>
      <c r="O30" s="9" t="n">
        <v>4</v>
      </c>
      <c r="P30" t="inlineStr">
        <is>
          <t>FILTER</t>
        </is>
      </c>
      <c r="Q30" t="inlineStr"/>
      <c r="R30" t="inlineStr"/>
      <c r="S30" t="inlineStr"/>
    </row>
    <row r="31">
      <c r="A31" t="inlineStr">
        <is>
          <t>Task</t>
        </is>
      </c>
      <c r="B31" s="26" t="inlineStr">
        <is>
          <t>FDSE-162</t>
        </is>
      </c>
      <c r="C31" s="18" t="inlineStr">
        <is>
          <t>Improved Translation strategy</t>
        </is>
      </c>
      <c r="D31" t="inlineStr">
        <is>
          <t>FDSE-118</t>
        </is>
      </c>
      <c r="E31" t="inlineStr">
        <is>
          <t>Epic</t>
        </is>
      </c>
      <c r="F31" t="inlineStr">
        <is>
          <t>Harsh Verma</t>
        </is>
      </c>
      <c r="G31" t="inlineStr">
        <is>
          <t>Closed</t>
        </is>
      </c>
      <c r="H31" t="inlineStr">
        <is>
          <t>Done</t>
        </is>
      </c>
      <c r="I31" t="inlineStr">
        <is>
          <t>P3</t>
        </is>
      </c>
      <c r="J31" s="27" t="n">
        <v>46070</v>
      </c>
      <c r="K31" s="27" t="n">
        <v>46072</v>
      </c>
      <c r="L31" s="27" t="n">
        <v>46086</v>
      </c>
      <c r="M31" t="inlineStr">
        <is>
          <t>sprint-Dolly</t>
        </is>
      </c>
      <c r="N31" s="9" t="n">
        <v>16</v>
      </c>
      <c r="O31" s="9" t="n">
        <v>16</v>
      </c>
      <c r="P31" t="inlineStr">
        <is>
          <t>FDSE</t>
        </is>
      </c>
      <c r="Q31" t="inlineStr">
        <is>
          <t>product-filter</t>
        </is>
      </c>
      <c r="R31" t="inlineStr"/>
      <c r="S31" t="inlineStr"/>
    </row>
    <row r="32">
      <c r="A32" t="inlineStr">
        <is>
          <t>Task</t>
        </is>
      </c>
      <c r="B32" s="26" t="inlineStr">
        <is>
          <t>FILTER-12050</t>
        </is>
      </c>
      <c r="C32" s="18" t="inlineStr">
        <is>
          <t>Helping classroom team for PR review and Technical discussions</t>
        </is>
      </c>
      <c r="D32" t="inlineStr"/>
      <c r="E32" t="inlineStr"/>
      <c r="F32" t="inlineStr">
        <is>
          <t>Harsh Verma</t>
        </is>
      </c>
      <c r="G32" t="inlineStr">
        <is>
          <t>Closed</t>
        </is>
      </c>
      <c r="H32" t="inlineStr"/>
      <c r="I32" t="inlineStr">
        <is>
          <t>P3</t>
        </is>
      </c>
      <c r="J32" s="27" t="n">
        <v>46066</v>
      </c>
      <c r="L32" s="27" t="n">
        <v>46086</v>
      </c>
      <c r="M32" t="inlineStr">
        <is>
          <t>sprint-Dolly</t>
        </is>
      </c>
      <c r="N32" s="9" t="n">
        <v>4</v>
      </c>
      <c r="O32" s="9" t="n">
        <v>4</v>
      </c>
      <c r="P32" t="inlineStr">
        <is>
          <t>FILTER</t>
        </is>
      </c>
      <c r="Q32" t="inlineStr">
        <is>
          <t>unplanned-sprint</t>
        </is>
      </c>
      <c r="R32" t="inlineStr"/>
      <c r="S32" t="inlineStr"/>
    </row>
    <row r="33">
      <c r="A33" t="inlineStr">
        <is>
          <t>Task</t>
        </is>
      </c>
      <c r="B33" s="26" t="inlineStr">
        <is>
          <t>FILTER-12051</t>
        </is>
      </c>
      <c r="C33" s="18" t="inlineStr">
        <is>
          <t>Helping Home Team for the overall architecture of Parent Portal design Revamp and and AI Chat for their dashobard requirement</t>
        </is>
      </c>
      <c r="D33" t="inlineStr"/>
      <c r="E33" t="inlineStr"/>
      <c r="F33" t="inlineStr">
        <is>
          <t>Harsh Verma</t>
        </is>
      </c>
      <c r="G33" t="inlineStr">
        <is>
          <t>Closed</t>
        </is>
      </c>
      <c r="H33" t="inlineStr"/>
      <c r="I33" t="inlineStr">
        <is>
          <t>P3</t>
        </is>
      </c>
      <c r="J33" s="27" t="n">
        <v>46066</v>
      </c>
      <c r="L33" s="27" t="n">
        <v>46086</v>
      </c>
      <c r="M33" t="inlineStr">
        <is>
          <t>sprint-Dolly</t>
        </is>
      </c>
      <c r="N33" s="9" t="n">
        <v>30</v>
      </c>
      <c r="O33" s="9" t="n">
        <v>24</v>
      </c>
      <c r="P33" t="inlineStr">
        <is>
          <t>FILTER</t>
        </is>
      </c>
      <c r="Q33" t="inlineStr">
        <is>
          <t>unplanned-sprint</t>
        </is>
      </c>
      <c r="R33" t="inlineStr"/>
      <c r="S33" t="inlineStr"/>
    </row>
    <row r="34">
      <c r="A34" t="inlineStr">
        <is>
          <t>Task</t>
        </is>
      </c>
      <c r="B34" s="26" t="inlineStr">
        <is>
          <t>FILTER-11979</t>
        </is>
      </c>
      <c r="C34" s="18" t="inlineStr">
        <is>
          <t>Need code changes to keep more versions of UI artifacts - Part 1</t>
        </is>
      </c>
      <c r="D34" t="inlineStr"/>
      <c r="E34" t="inlineStr"/>
      <c r="F34" t="inlineStr">
        <is>
          <t>Harshada Kude</t>
        </is>
      </c>
      <c r="G34" t="inlineStr">
        <is>
          <t>Closed</t>
        </is>
      </c>
      <c r="H34" t="inlineStr"/>
      <c r="I34" t="inlineStr">
        <is>
          <t>P3</t>
        </is>
      </c>
      <c r="J34" s="27" t="n">
        <v>46058</v>
      </c>
      <c r="L34" s="27" t="n">
        <v>46086</v>
      </c>
      <c r="M34" t="inlineStr">
        <is>
          <t>sprint-Dolly</t>
        </is>
      </c>
      <c r="N34" s="9" t="n">
        <v>12</v>
      </c>
      <c r="O34" s="9" t="n">
        <v>16</v>
      </c>
      <c r="P34" t="inlineStr">
        <is>
          <t>FILTER</t>
        </is>
      </c>
      <c r="Q34" t="inlineStr"/>
      <c r="R34" t="inlineStr"/>
      <c r="S34" t="inlineStr"/>
    </row>
    <row r="35">
      <c r="A35" t="inlineStr">
        <is>
          <t>Dev</t>
        </is>
      </c>
      <c r="B35" s="26" t="inlineStr">
        <is>
          <t>FILTER-12112</t>
        </is>
      </c>
      <c r="C35" s="18" t="inlineStr">
        <is>
          <t>Create the en-Us.json file and consume translations in Filter Application</t>
        </is>
      </c>
      <c r="D35" t="inlineStr">
        <is>
          <t>FILTER-12111</t>
        </is>
      </c>
      <c r="E35" t="inlineStr">
        <is>
          <t>Story</t>
        </is>
      </c>
      <c r="F35" t="inlineStr">
        <is>
          <t>Harshada Kude</t>
        </is>
      </c>
      <c r="G35" t="inlineStr">
        <is>
          <t>Done</t>
        </is>
      </c>
      <c r="H35" t="inlineStr"/>
      <c r="I35" t="inlineStr">
        <is>
          <t>P3</t>
        </is>
      </c>
      <c r="J35" s="27" t="n">
        <v>46073</v>
      </c>
      <c r="L35" s="27" t="n">
        <v>46083</v>
      </c>
      <c r="M35" t="inlineStr">
        <is>
          <t>sprint-Dolly</t>
        </is>
      </c>
      <c r="N35" s="9" t="n">
        <v>36</v>
      </c>
      <c r="O35" s="9" t="n">
        <v>24</v>
      </c>
      <c r="P35" t="inlineStr">
        <is>
          <t>FILTER</t>
        </is>
      </c>
      <c r="Q35" t="inlineStr"/>
      <c r="R35" t="inlineStr"/>
      <c r="S35" t="inlineStr"/>
    </row>
    <row r="36">
      <c r="A36" t="inlineStr">
        <is>
          <t>Dev</t>
        </is>
      </c>
      <c r="B36" s="26" t="inlineStr">
        <is>
          <t>FILTER-12075</t>
        </is>
      </c>
      <c r="C36" s="18" t="inlineStr">
        <is>
          <t>[sprox] yaml extraction through Secret Manager</t>
        </is>
      </c>
      <c r="D36" t="inlineStr">
        <is>
          <t>FILTER-12069</t>
        </is>
      </c>
      <c r="E36" t="inlineStr">
        <is>
          <t>Story</t>
        </is>
      </c>
      <c r="F36" t="inlineStr">
        <is>
          <t>Pratik Tiwari</t>
        </is>
      </c>
      <c r="G36" t="inlineStr">
        <is>
          <t>Done</t>
        </is>
      </c>
      <c r="H36" t="inlineStr"/>
      <c r="I36" t="inlineStr">
        <is>
          <t>P3</t>
        </is>
      </c>
      <c r="J36" s="27" t="n">
        <v>46070</v>
      </c>
      <c r="L36" s="27" t="n">
        <v>46077</v>
      </c>
      <c r="M36" t="inlineStr">
        <is>
          <t>sprint-Dolly</t>
        </is>
      </c>
      <c r="N36" s="9" t="n">
        <v>12</v>
      </c>
      <c r="O36" s="9" t="n">
        <v>8</v>
      </c>
      <c r="P36" t="inlineStr">
        <is>
          <t>FILTER</t>
        </is>
      </c>
      <c r="Q36" t="inlineStr"/>
      <c r="R36" t="inlineStr"/>
      <c r="S36" t="inlineStr"/>
    </row>
    <row r="37">
      <c r="A37" t="inlineStr">
        <is>
          <t>Dev</t>
        </is>
      </c>
      <c r="B37" s="26" t="inlineStr">
        <is>
          <t>FILTER-12320</t>
        </is>
      </c>
      <c r="C37" s="18" t="inlineStr">
        <is>
          <t>Dev task to fix: breaking testcases for securly-extension repo</t>
        </is>
      </c>
      <c r="D37" t="inlineStr">
        <is>
          <t>FILTER-12318</t>
        </is>
      </c>
      <c r="E37" t="inlineStr">
        <is>
          <t>Task</t>
        </is>
      </c>
      <c r="F37" t="inlineStr">
        <is>
          <t>Pratik Tiwari</t>
        </is>
      </c>
      <c r="G37" t="inlineStr">
        <is>
          <t>Done</t>
        </is>
      </c>
      <c r="H37" t="inlineStr"/>
      <c r="I37" t="inlineStr">
        <is>
          <t>P3</t>
        </is>
      </c>
      <c r="J37" s="27" t="n">
        <v>46083</v>
      </c>
      <c r="L37" s="27" t="n">
        <v>46083</v>
      </c>
      <c r="M37" t="inlineStr">
        <is>
          <t>sprint-Dolly</t>
        </is>
      </c>
      <c r="N37" s="9" t="n">
        <v>6</v>
      </c>
      <c r="O37" s="9" t="n">
        <v>6</v>
      </c>
      <c r="P37" t="inlineStr">
        <is>
          <t>FILTER</t>
        </is>
      </c>
      <c r="Q37" t="inlineStr"/>
      <c r="R37" t="inlineStr"/>
      <c r="S37" t="inlineStr"/>
    </row>
    <row r="38">
      <c r="A38" t="inlineStr">
        <is>
          <t>Dev</t>
        </is>
      </c>
      <c r="B38" s="26" t="inlineStr">
        <is>
          <t>FILTER-12073</t>
        </is>
      </c>
      <c r="C38" s="18" t="inlineStr">
        <is>
          <t>[sprox] Wrapper code comparison with Squid for any missing functions</t>
        </is>
      </c>
      <c r="D38" t="inlineStr">
        <is>
          <t>FILTER-12072</t>
        </is>
      </c>
      <c r="E38" t="inlineStr">
        <is>
          <t>Story</t>
        </is>
      </c>
      <c r="F38" t="inlineStr">
        <is>
          <t>Ravi Raj</t>
        </is>
      </c>
      <c r="G38" t="inlineStr">
        <is>
          <t>Done</t>
        </is>
      </c>
      <c r="H38" t="inlineStr"/>
      <c r="I38" t="inlineStr">
        <is>
          <t>P3</t>
        </is>
      </c>
      <c r="J38" s="27" t="n">
        <v>46070</v>
      </c>
      <c r="L38" s="27" t="n">
        <v>46083</v>
      </c>
      <c r="M38" t="inlineStr">
        <is>
          <t>sprint-Dolly</t>
        </is>
      </c>
      <c r="N38" s="9" t="n">
        <v>10</v>
      </c>
      <c r="O38" s="9" t="n">
        <v>10</v>
      </c>
      <c r="P38" t="inlineStr">
        <is>
          <t>FILTER</t>
        </is>
      </c>
      <c r="Q38" t="inlineStr"/>
      <c r="R38" t="inlineStr"/>
      <c r="S38" t="inlineStr"/>
    </row>
    <row r="39">
      <c r="A39" t="inlineStr">
        <is>
          <t>Dev</t>
        </is>
      </c>
      <c r="B39" s="26" t="inlineStr">
        <is>
          <t>FILTER-12243</t>
        </is>
      </c>
      <c r="C39" s="18" t="inlineStr">
        <is>
          <t>Go migration for AirPrint Failure on iOS 18 Managed iPads Fix</t>
        </is>
      </c>
      <c r="D39" t="inlineStr">
        <is>
          <t>FILTER-6994</t>
        </is>
      </c>
      <c r="E39" t="inlineStr">
        <is>
          <t>Escape Defect</t>
        </is>
      </c>
      <c r="F39" t="inlineStr">
        <is>
          <t>Ravi Raj</t>
        </is>
      </c>
      <c r="G39" t="inlineStr">
        <is>
          <t>Done</t>
        </is>
      </c>
      <c r="H39" t="inlineStr"/>
      <c r="I39" t="inlineStr">
        <is>
          <t>P2</t>
        </is>
      </c>
      <c r="J39" s="27" t="n">
        <v>46079</v>
      </c>
      <c r="L39" s="27" t="n">
        <v>46079</v>
      </c>
      <c r="M39" t="inlineStr">
        <is>
          <t>sprint-Dolly</t>
        </is>
      </c>
      <c r="N39" s="9" t="n">
        <v>6</v>
      </c>
      <c r="O39" s="9" t="n">
        <v>6</v>
      </c>
      <c r="P39" t="inlineStr">
        <is>
          <t>FILTER</t>
        </is>
      </c>
      <c r="Q39" t="inlineStr"/>
      <c r="R39" t="inlineStr"/>
      <c r="S39" t="inlineStr"/>
    </row>
    <row r="40">
      <c r="A40" t="inlineStr">
        <is>
          <t>Dev</t>
        </is>
      </c>
      <c r="B40" s="26" t="inlineStr">
        <is>
          <t>FILTER-12322</t>
        </is>
      </c>
      <c r="C40" s="18" t="inlineStr">
        <is>
          <t>[sprox] Enable commented code in Wrapper and Fix get header crash</t>
        </is>
      </c>
      <c r="D40" t="inlineStr">
        <is>
          <t>FILTER-12321</t>
        </is>
      </c>
      <c r="E40" t="inlineStr">
        <is>
          <t>Story</t>
        </is>
      </c>
      <c r="F40" t="inlineStr">
        <is>
          <t>Ravi Raj</t>
        </is>
      </c>
      <c r="G40" t="inlineStr">
        <is>
          <t>Done</t>
        </is>
      </c>
      <c r="H40" t="inlineStr"/>
      <c r="I40" t="inlineStr">
        <is>
          <t>P3</t>
        </is>
      </c>
      <c r="J40" s="27" t="n">
        <v>46083</v>
      </c>
      <c r="L40" s="27" t="n">
        <v>46083</v>
      </c>
      <c r="M40" t="inlineStr">
        <is>
          <t>sprint-Dolly</t>
        </is>
      </c>
      <c r="N40" s="9" t="n">
        <v>12</v>
      </c>
      <c r="O40" s="9" t="n">
        <v>12</v>
      </c>
      <c r="P40" t="inlineStr">
        <is>
          <t>FILTER</t>
        </is>
      </c>
      <c r="Q40" t="inlineStr"/>
      <c r="R40" t="inlineStr"/>
      <c r="S40" t="inlineStr"/>
    </row>
    <row r="41">
      <c r="A41" t="inlineStr">
        <is>
          <t>Dev</t>
        </is>
      </c>
      <c r="B41" s="26" t="inlineStr">
        <is>
          <t>FILTER-12029</t>
        </is>
      </c>
      <c r="C41" s="18" t="inlineStr">
        <is>
          <t>Investigate and fix: Admins unable to access Filter UI – "We're unable to locate the user"</t>
        </is>
      </c>
      <c r="D41" t="inlineStr">
        <is>
          <t>FILTER-11982</t>
        </is>
      </c>
      <c r="E41" t="inlineStr">
        <is>
          <t>Escape Defect</t>
        </is>
      </c>
      <c r="F41" t="inlineStr">
        <is>
          <t>Sagar Satpute</t>
        </is>
      </c>
      <c r="G41" t="inlineStr">
        <is>
          <t>Done</t>
        </is>
      </c>
      <c r="H41" t="inlineStr"/>
      <c r="I41" t="inlineStr">
        <is>
          <t>P3</t>
        </is>
      </c>
      <c r="J41" s="27" t="n">
        <v>46064</v>
      </c>
      <c r="L41" s="27" t="n">
        <v>46073</v>
      </c>
      <c r="M41" t="inlineStr">
        <is>
          <t>sprint-Dolly</t>
        </is>
      </c>
      <c r="N41" s="9" t="n">
        <v>6</v>
      </c>
      <c r="O41" s="9" t="n">
        <v>13</v>
      </c>
      <c r="P41" t="inlineStr">
        <is>
          <t>FILTER</t>
        </is>
      </c>
      <c r="Q41" t="inlineStr"/>
      <c r="R41" t="inlineStr"/>
      <c r="S41" t="inlineStr"/>
    </row>
    <row r="42">
      <c r="A42" t="inlineStr">
        <is>
          <t>Dev</t>
        </is>
      </c>
      <c r="B42" s="26" t="inlineStr">
        <is>
          <t>FILTER-12314</t>
        </is>
      </c>
      <c r="C42" s="18" t="inlineStr">
        <is>
          <t>Dev Task for the Fix</t>
        </is>
      </c>
      <c r="D42" t="inlineStr">
        <is>
          <t>FILTER-12313</t>
        </is>
      </c>
      <c r="E42" t="inlineStr">
        <is>
          <t>Task</t>
        </is>
      </c>
      <c r="F42" t="inlineStr">
        <is>
          <t>Sagar Satpute</t>
        </is>
      </c>
      <c r="G42" t="inlineStr">
        <is>
          <t>Done</t>
        </is>
      </c>
      <c r="H42" t="inlineStr"/>
      <c r="I42" t="inlineStr">
        <is>
          <t>P3</t>
        </is>
      </c>
      <c r="J42" s="27" t="n">
        <v>46083</v>
      </c>
      <c r="L42" s="27" t="n">
        <v>46083</v>
      </c>
      <c r="M42" t="inlineStr">
        <is>
          <t>sprint-Dolly</t>
        </is>
      </c>
      <c r="N42" s="9" t="n">
        <v>8</v>
      </c>
      <c r="O42" s="9" t="n">
        <v>8</v>
      </c>
      <c r="P42" t="inlineStr">
        <is>
          <t>FILTER</t>
        </is>
      </c>
      <c r="Q42" t="inlineStr"/>
      <c r="R42" t="inlineStr"/>
      <c r="S42" t="inlineStr"/>
    </row>
    <row r="43">
      <c r="A43" t="inlineStr">
        <is>
          <t>QA</t>
        </is>
      </c>
      <c r="B43" s="26" t="inlineStr">
        <is>
          <t>FILTER-11159</t>
        </is>
      </c>
      <c r="C43" s="18" t="inlineStr">
        <is>
          <t>Manual QA Validation for Account Deletion Request Expiry Page Failure</t>
        </is>
      </c>
      <c r="D43" t="inlineStr">
        <is>
          <t>FILTER-10227</t>
        </is>
      </c>
      <c r="E43" t="inlineStr">
        <is>
          <t>Defect</t>
        </is>
      </c>
      <c r="F43" t="inlineStr">
        <is>
          <t>Surabhi Choudhary</t>
        </is>
      </c>
      <c r="G43" t="inlineStr">
        <is>
          <t>Done</t>
        </is>
      </c>
      <c r="H43" t="inlineStr"/>
      <c r="I43" t="inlineStr">
        <is>
          <t>P2</t>
        </is>
      </c>
      <c r="J43" s="27" t="n">
        <v>45993</v>
      </c>
      <c r="L43" s="27" t="n">
        <v>46078</v>
      </c>
      <c r="M43" t="inlineStr">
        <is>
          <t>sprint-Dolly</t>
        </is>
      </c>
      <c r="N43" s="9" t="n">
        <v>3</v>
      </c>
      <c r="O43" s="9" t="n">
        <v>3</v>
      </c>
      <c r="P43" t="inlineStr">
        <is>
          <t>FILTER</t>
        </is>
      </c>
      <c r="Q43" t="inlineStr"/>
      <c r="R43" t="inlineStr"/>
      <c r="S43" t="inlineStr"/>
    </row>
    <row r="44">
      <c r="A44" t="inlineStr">
        <is>
          <t>QA</t>
        </is>
      </c>
      <c r="B44" s="26" t="inlineStr">
        <is>
          <t>FILTER-12077</t>
        </is>
      </c>
      <c r="C44" s="18" t="inlineStr">
        <is>
          <t>Validate changes done on  FILTER-11788</t>
        </is>
      </c>
      <c r="D44" t="inlineStr">
        <is>
          <t>FILTER-11819</t>
        </is>
      </c>
      <c r="E44" t="inlineStr">
        <is>
          <t>Task</t>
        </is>
      </c>
      <c r="F44" t="inlineStr">
        <is>
          <t>Surabhi Choudhary</t>
        </is>
      </c>
      <c r="G44" t="inlineStr">
        <is>
          <t>Done</t>
        </is>
      </c>
      <c r="H44" t="inlineStr"/>
      <c r="I44" t="inlineStr">
        <is>
          <t>P3</t>
        </is>
      </c>
      <c r="J44" s="27" t="n">
        <v>46070</v>
      </c>
      <c r="L44" s="27" t="n">
        <v>46128</v>
      </c>
      <c r="M44" t="inlineStr">
        <is>
          <t>sprint-Dolly</t>
        </is>
      </c>
      <c r="N44" s="9" t="n">
        <v>2</v>
      </c>
      <c r="O44" s="9" t="n">
        <v>2</v>
      </c>
      <c r="P44" t="inlineStr">
        <is>
          <t>FILTER</t>
        </is>
      </c>
      <c r="Q44" t="inlineStr"/>
      <c r="R44" t="inlineStr"/>
      <c r="S44" t="inlineStr"/>
    </row>
    <row r="45">
      <c r="A45" t="inlineStr">
        <is>
          <t>QA</t>
        </is>
      </c>
      <c r="B45" s="26" t="inlineStr">
        <is>
          <t>FILTER-12261</t>
        </is>
      </c>
      <c r="C45" s="18" t="inlineStr">
        <is>
          <t xml:space="preserve">QA- http/2 protocol could exceed allowed header size </t>
        </is>
      </c>
      <c r="D45" t="inlineStr">
        <is>
          <t>FILTER-12259</t>
        </is>
      </c>
      <c r="E45" t="inlineStr">
        <is>
          <t>Escape Defect</t>
        </is>
      </c>
      <c r="F45" t="inlineStr">
        <is>
          <t>Surabhi Choudhary</t>
        </is>
      </c>
      <c r="G45" t="inlineStr">
        <is>
          <t>Done</t>
        </is>
      </c>
      <c r="H45" t="inlineStr"/>
      <c r="I45" t="inlineStr">
        <is>
          <t>P1</t>
        </is>
      </c>
      <c r="J45" s="27" t="n">
        <v>46079</v>
      </c>
      <c r="L45" s="27" t="n">
        <v>46091</v>
      </c>
      <c r="M45" t="inlineStr">
        <is>
          <t>sprint-Dolly</t>
        </is>
      </c>
      <c r="N45" s="9" t="n">
        <v>5</v>
      </c>
      <c r="O45" s="9" t="n">
        <v>3</v>
      </c>
      <c r="P45" t="inlineStr">
        <is>
          <t>FILTER</t>
        </is>
      </c>
      <c r="Q45" t="inlineStr"/>
      <c r="R45" t="inlineStr"/>
      <c r="S45" t="inlineStr"/>
    </row>
    <row r="46">
      <c r="A46" t="inlineStr">
        <is>
          <t>Task</t>
        </is>
      </c>
      <c r="B46" s="26" t="inlineStr">
        <is>
          <t>FILTER-12375</t>
        </is>
      </c>
      <c r="C46" s="18" t="inlineStr">
        <is>
          <t>Helping team with PR reviews, Accessibility</t>
        </is>
      </c>
      <c r="D46" t="inlineStr"/>
      <c r="E46" t="inlineStr"/>
      <c r="F46" t="inlineStr">
        <is>
          <t>Swaroop Chavhan</t>
        </is>
      </c>
      <c r="G46" t="inlineStr">
        <is>
          <t>Resolved</t>
        </is>
      </c>
      <c r="H46" t="inlineStr">
        <is>
          <t>Fixed</t>
        </is>
      </c>
      <c r="I46" t="inlineStr">
        <is>
          <t>P3</t>
        </is>
      </c>
      <c r="J46" s="27" t="n">
        <v>46087</v>
      </c>
      <c r="K46" s="27" t="n">
        <v>46097</v>
      </c>
      <c r="L46" s="27" t="n">
        <v>46097</v>
      </c>
      <c r="M46" t="inlineStr">
        <is>
          <t>sprint-Dolly</t>
        </is>
      </c>
      <c r="N46" s="9" t="n">
        <v>10</v>
      </c>
      <c r="O46" s="9" t="n">
        <v>10</v>
      </c>
      <c r="P46" t="inlineStr">
        <is>
          <t>FILTER</t>
        </is>
      </c>
      <c r="Q46" t="inlineStr">
        <is>
          <t>unplanned-sprint</t>
        </is>
      </c>
      <c r="R46" t="inlineStr"/>
      <c r="S46" t="inlineStr"/>
    </row>
    <row r="47">
      <c r="A47" t="inlineStr">
        <is>
          <t>Dev</t>
        </is>
      </c>
      <c r="B47" s="26" t="inlineStr">
        <is>
          <t>FILTER-11544</t>
        </is>
      </c>
      <c r="C47" s="18" t="inlineStr">
        <is>
          <t>Fix Filter Bypass: YouTube Category Blocks Not Enforced in Google Search Video Tab</t>
        </is>
      </c>
      <c r="D47" t="inlineStr">
        <is>
          <t>FILTER-6620</t>
        </is>
      </c>
      <c r="E47" t="inlineStr">
        <is>
          <t>Support Escalation (OLD)</t>
        </is>
      </c>
      <c r="F47" t="inlineStr">
        <is>
          <t>Vaibhav Kumbhar</t>
        </is>
      </c>
      <c r="G47" t="inlineStr">
        <is>
          <t>Done</t>
        </is>
      </c>
      <c r="H47" t="inlineStr"/>
      <c r="I47" t="inlineStr">
        <is>
          <t>P3</t>
        </is>
      </c>
      <c r="J47" s="27" t="n">
        <v>46012</v>
      </c>
      <c r="L47" s="27" t="n">
        <v>46055</v>
      </c>
      <c r="M47" t="inlineStr">
        <is>
          <t>sprint-Dolly</t>
        </is>
      </c>
      <c r="N47" s="9" t="n">
        <v>22</v>
      </c>
      <c r="O47" s="9" t="n">
        <v>20</v>
      </c>
      <c r="P47" t="inlineStr">
        <is>
          <t>FILTER</t>
        </is>
      </c>
      <c r="Q47" t="inlineStr"/>
      <c r="R47" t="inlineStr"/>
      <c r="S47" t="inlineStr"/>
    </row>
    <row r="48">
      <c r="A48" t="inlineStr">
        <is>
          <t>Dev</t>
        </is>
      </c>
      <c r="B48" s="26" t="inlineStr">
        <is>
          <t>FILTER-11832</t>
        </is>
      </c>
      <c r="C48" s="18" t="inlineStr">
        <is>
          <t>Dev Task to To verify if we need additional fixes for uncategorized logging</t>
        </is>
      </c>
      <c r="D48" t="inlineStr">
        <is>
          <t>FILTER-11819</t>
        </is>
      </c>
      <c r="E48" t="inlineStr">
        <is>
          <t>Task</t>
        </is>
      </c>
      <c r="F48" t="inlineStr">
        <is>
          <t>Vaibhav Kumbhar</t>
        </is>
      </c>
      <c r="G48" t="inlineStr">
        <is>
          <t>Closed without action</t>
        </is>
      </c>
      <c r="H48" t="inlineStr"/>
      <c r="I48" t="inlineStr">
        <is>
          <t>P3</t>
        </is>
      </c>
      <c r="J48" s="27" t="n">
        <v>46051</v>
      </c>
      <c r="L48" s="27" t="n">
        <v>46070</v>
      </c>
      <c r="M48" t="inlineStr">
        <is>
          <t>sprint-Dolly</t>
        </is>
      </c>
      <c r="N48" s="9" t="n">
        <v>9</v>
      </c>
      <c r="O48" s="9" t="n">
        <v>16</v>
      </c>
      <c r="P48" t="inlineStr">
        <is>
          <t>FILTER</t>
        </is>
      </c>
      <c r="Q48" t="inlineStr"/>
      <c r="R48" t="inlineStr"/>
      <c r="S48" t="inlineStr"/>
    </row>
    <row r="49">
      <c r="A49" t="inlineStr">
        <is>
          <t>Dev</t>
        </is>
      </c>
      <c r="B49" s="26" t="inlineStr">
        <is>
          <t>FILTER-12260</t>
        </is>
      </c>
      <c r="C49" s="18" t="inlineStr">
        <is>
          <t xml:space="preserve">DEV - http/2 protocol could exceed allowed header size </t>
        </is>
      </c>
      <c r="D49" t="inlineStr">
        <is>
          <t>FILTER-12259</t>
        </is>
      </c>
      <c r="E49" t="inlineStr">
        <is>
          <t>Escape Defect</t>
        </is>
      </c>
      <c r="F49" t="inlineStr">
        <is>
          <t>Vaibhav Kumbhar</t>
        </is>
      </c>
      <c r="G49" t="inlineStr">
        <is>
          <t>Done</t>
        </is>
      </c>
      <c r="H49" t="inlineStr"/>
      <c r="I49" t="inlineStr">
        <is>
          <t>P1</t>
        </is>
      </c>
      <c r="J49" s="27" t="n">
        <v>46079</v>
      </c>
      <c r="L49" s="27" t="n">
        <v>46082</v>
      </c>
      <c r="M49" t="inlineStr">
        <is>
          <t>sprint-Dolly</t>
        </is>
      </c>
      <c r="N49" s="9" t="n">
        <v>4</v>
      </c>
      <c r="O49" s="9" t="n">
        <v>4</v>
      </c>
      <c r="P49" t="inlineStr">
        <is>
          <t>FILTER</t>
        </is>
      </c>
      <c r="Q49" t="inlineStr"/>
      <c r="R49" t="inlineStr"/>
      <c r="S49" t="inlineStr"/>
    </row>
    <row r="50">
      <c r="A50" t="inlineStr">
        <is>
          <t>Dev</t>
        </is>
      </c>
      <c r="B50" s="26" t="inlineStr">
        <is>
          <t>PTGM-653</t>
        </is>
      </c>
      <c r="C50" s="18" t="inlineStr">
        <is>
          <t>Use context in www-filter repo</t>
        </is>
      </c>
      <c r="D50" t="inlineStr">
        <is>
          <t>PTGM-665</t>
        </is>
      </c>
      <c r="E50" t="inlineStr">
        <is>
          <t>Story</t>
        </is>
      </c>
      <c r="F50" t="inlineStr">
        <is>
          <t>Vaibhav Kumbhar</t>
        </is>
      </c>
      <c r="G50" t="inlineStr">
        <is>
          <t>Done</t>
        </is>
      </c>
      <c r="H50" t="inlineStr"/>
      <c r="I50" t="inlineStr">
        <is>
          <t>P2</t>
        </is>
      </c>
      <c r="J50" s="27" t="n">
        <v>46001</v>
      </c>
      <c r="L50" s="27" t="n">
        <v>46083</v>
      </c>
      <c r="M50" t="inlineStr">
        <is>
          <t>sprint-Dolly</t>
        </is>
      </c>
      <c r="N50" s="9" t="n">
        <v>30</v>
      </c>
      <c r="O50" s="9" t="n">
        <v>32</v>
      </c>
      <c r="P50" t="inlineStr">
        <is>
          <t>PTGM</t>
        </is>
      </c>
      <c r="Q50" t="inlineStr"/>
      <c r="R50" t="inlineStr"/>
      <c r="S50" t="inlineStr"/>
    </row>
    <row r="51">
      <c r="A51" t="inlineStr">
        <is>
          <t>Dev</t>
        </is>
      </c>
      <c r="B51" s="26" t="inlineStr">
        <is>
          <t>PTGM-680</t>
        </is>
      </c>
      <c r="C51" s="18" t="inlineStr">
        <is>
          <t>Use context for broker APIs in www-filter</t>
        </is>
      </c>
      <c r="D51" t="inlineStr">
        <is>
          <t>PTGM-665</t>
        </is>
      </c>
      <c r="E51" t="inlineStr">
        <is>
          <t>Story</t>
        </is>
      </c>
      <c r="F51" t="inlineStr">
        <is>
          <t>Vaibhav Kumbhar</t>
        </is>
      </c>
      <c r="G51" t="inlineStr">
        <is>
          <t>Done</t>
        </is>
      </c>
      <c r="H51" t="inlineStr"/>
      <c r="I51" t="inlineStr">
        <is>
          <t>P2</t>
        </is>
      </c>
      <c r="J51" s="27" t="n">
        <v>46070</v>
      </c>
      <c r="L51" s="27" t="n">
        <v>46084</v>
      </c>
      <c r="M51" t="inlineStr">
        <is>
          <t>sprint-Dolly</t>
        </is>
      </c>
      <c r="N51" s="9" t="n">
        <v>20</v>
      </c>
      <c r="O51" s="9" t="n">
        <v>12</v>
      </c>
      <c r="P51" t="inlineStr">
        <is>
          <t>PTGM</t>
        </is>
      </c>
      <c r="Q51" t="inlineStr"/>
      <c r="R51" t="inlineStr"/>
      <c r="S51" t="inlineStr"/>
    </row>
  </sheetData>
  <autoFilter ref="A1:S51"/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4" r:id="rId3"/>
    <hyperlink xmlns:r="http://schemas.openxmlformats.org/officeDocument/2006/relationships" ref="B5" r:id="rId4"/>
    <hyperlink xmlns:r="http://schemas.openxmlformats.org/officeDocument/2006/relationships" ref="B6" r:id="rId5"/>
    <hyperlink xmlns:r="http://schemas.openxmlformats.org/officeDocument/2006/relationships" ref="B7" r:id="rId6"/>
    <hyperlink xmlns:r="http://schemas.openxmlformats.org/officeDocument/2006/relationships" ref="B8" r:id="rId7"/>
    <hyperlink xmlns:r="http://schemas.openxmlformats.org/officeDocument/2006/relationships" ref="B9" r:id="rId8"/>
    <hyperlink xmlns:r="http://schemas.openxmlformats.org/officeDocument/2006/relationships" ref="B10" r:id="rId9"/>
    <hyperlink xmlns:r="http://schemas.openxmlformats.org/officeDocument/2006/relationships" ref="B11" r:id="rId10"/>
    <hyperlink xmlns:r="http://schemas.openxmlformats.org/officeDocument/2006/relationships" ref="B12" r:id="rId11"/>
    <hyperlink xmlns:r="http://schemas.openxmlformats.org/officeDocument/2006/relationships" ref="B13" r:id="rId12"/>
    <hyperlink xmlns:r="http://schemas.openxmlformats.org/officeDocument/2006/relationships" ref="B14" r:id="rId13"/>
    <hyperlink xmlns:r="http://schemas.openxmlformats.org/officeDocument/2006/relationships" ref="B15" r:id="rId14"/>
    <hyperlink xmlns:r="http://schemas.openxmlformats.org/officeDocument/2006/relationships" ref="B16" r:id="rId15"/>
    <hyperlink xmlns:r="http://schemas.openxmlformats.org/officeDocument/2006/relationships" ref="B17" r:id="rId16"/>
    <hyperlink xmlns:r="http://schemas.openxmlformats.org/officeDocument/2006/relationships" ref="B18" r:id="rId17"/>
    <hyperlink xmlns:r="http://schemas.openxmlformats.org/officeDocument/2006/relationships" ref="B19" r:id="rId18"/>
    <hyperlink xmlns:r="http://schemas.openxmlformats.org/officeDocument/2006/relationships" ref="B20" r:id="rId19"/>
    <hyperlink xmlns:r="http://schemas.openxmlformats.org/officeDocument/2006/relationships" ref="B21" r:id="rId20"/>
    <hyperlink xmlns:r="http://schemas.openxmlformats.org/officeDocument/2006/relationships" ref="B22" r:id="rId21"/>
    <hyperlink xmlns:r="http://schemas.openxmlformats.org/officeDocument/2006/relationships" ref="B23" r:id="rId22"/>
    <hyperlink xmlns:r="http://schemas.openxmlformats.org/officeDocument/2006/relationships" ref="B24" r:id="rId23"/>
    <hyperlink xmlns:r="http://schemas.openxmlformats.org/officeDocument/2006/relationships" ref="B25" r:id="rId24"/>
    <hyperlink xmlns:r="http://schemas.openxmlformats.org/officeDocument/2006/relationships" ref="B26" r:id="rId25"/>
    <hyperlink xmlns:r="http://schemas.openxmlformats.org/officeDocument/2006/relationships" ref="B27" r:id="rId26"/>
    <hyperlink xmlns:r="http://schemas.openxmlformats.org/officeDocument/2006/relationships" ref="B28" r:id="rId27"/>
    <hyperlink xmlns:r="http://schemas.openxmlformats.org/officeDocument/2006/relationships" ref="B29" r:id="rId28"/>
    <hyperlink xmlns:r="http://schemas.openxmlformats.org/officeDocument/2006/relationships" ref="B30" r:id="rId29"/>
    <hyperlink xmlns:r="http://schemas.openxmlformats.org/officeDocument/2006/relationships" ref="B31" r:id="rId30"/>
    <hyperlink xmlns:r="http://schemas.openxmlformats.org/officeDocument/2006/relationships" ref="B32" r:id="rId31"/>
    <hyperlink xmlns:r="http://schemas.openxmlformats.org/officeDocument/2006/relationships" ref="B33" r:id="rId32"/>
    <hyperlink xmlns:r="http://schemas.openxmlformats.org/officeDocument/2006/relationships" ref="B34" r:id="rId33"/>
    <hyperlink xmlns:r="http://schemas.openxmlformats.org/officeDocument/2006/relationships" ref="B35" r:id="rId34"/>
    <hyperlink xmlns:r="http://schemas.openxmlformats.org/officeDocument/2006/relationships" ref="B36" r:id="rId35"/>
    <hyperlink xmlns:r="http://schemas.openxmlformats.org/officeDocument/2006/relationships" ref="B37" r:id="rId36"/>
    <hyperlink xmlns:r="http://schemas.openxmlformats.org/officeDocument/2006/relationships" ref="B38" r:id="rId37"/>
    <hyperlink xmlns:r="http://schemas.openxmlformats.org/officeDocument/2006/relationships" ref="B39" r:id="rId38"/>
    <hyperlink xmlns:r="http://schemas.openxmlformats.org/officeDocument/2006/relationships" ref="B40" r:id="rId39"/>
    <hyperlink xmlns:r="http://schemas.openxmlformats.org/officeDocument/2006/relationships" ref="B41" r:id="rId40"/>
    <hyperlink xmlns:r="http://schemas.openxmlformats.org/officeDocument/2006/relationships" ref="B42" r:id="rId41"/>
    <hyperlink xmlns:r="http://schemas.openxmlformats.org/officeDocument/2006/relationships" ref="B43" r:id="rId42"/>
    <hyperlink xmlns:r="http://schemas.openxmlformats.org/officeDocument/2006/relationships" ref="B44" r:id="rId43"/>
    <hyperlink xmlns:r="http://schemas.openxmlformats.org/officeDocument/2006/relationships" ref="B45" r:id="rId44"/>
    <hyperlink xmlns:r="http://schemas.openxmlformats.org/officeDocument/2006/relationships" ref="B46" r:id="rId45"/>
    <hyperlink xmlns:r="http://schemas.openxmlformats.org/officeDocument/2006/relationships" ref="B47" r:id="rId46"/>
    <hyperlink xmlns:r="http://schemas.openxmlformats.org/officeDocument/2006/relationships" ref="B48" r:id="rId47"/>
    <hyperlink xmlns:r="http://schemas.openxmlformats.org/officeDocument/2006/relationships" ref="B49" r:id="rId48"/>
    <hyperlink xmlns:r="http://schemas.openxmlformats.org/officeDocument/2006/relationships" ref="B50" r:id="rId49"/>
    <hyperlink xmlns:r="http://schemas.openxmlformats.org/officeDocument/2006/relationships" ref="B51" r:id="rId50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60" customWidth="1" min="3" max="3"/>
    <col width="16" customWidth="1" min="4" max="4"/>
    <col width="14" customWidth="1" min="5" max="5"/>
    <col width="22" customWidth="1" min="6" max="6"/>
    <col width="18" customWidth="1" min="7" max="7"/>
    <col width="14" customWidth="1" min="8" max="8"/>
    <col width="10" customWidth="1" min="9" max="9"/>
    <col width="12" customWidth="1" min="10" max="10"/>
    <col width="12" customWidth="1" min="11" max="11"/>
    <col width="12" customWidth="1" min="12" max="12"/>
    <col width="18" customWidth="1" min="13" max="13"/>
    <col width="12" customWidth="1" min="14" max="14"/>
    <col width="12" customWidth="1" min="15" max="15"/>
    <col width="10" customWidth="1" min="16" max="16"/>
    <col width="18" customWidth="1" min="17" max="17"/>
    <col width="14" customWidth="1" min="18" max="18"/>
    <col width="16" customWidth="1" min="19" max="19"/>
  </cols>
  <sheetData>
    <row r="1">
      <c r="A1" s="3" t="inlineStr">
        <is>
          <t>Issue Type</t>
        </is>
      </c>
      <c r="B1" s="3" t="inlineStr">
        <is>
          <t>Issue key</t>
        </is>
      </c>
      <c r="C1" s="3" t="inlineStr">
        <is>
          <t>Summary</t>
        </is>
      </c>
      <c r="D1" s="3" t="inlineStr">
        <is>
          <t>Parent key</t>
        </is>
      </c>
      <c r="E1" s="3" t="inlineStr">
        <is>
          <t>Parent type</t>
        </is>
      </c>
      <c r="F1" s="3" t="inlineStr">
        <is>
          <t>Assignee</t>
        </is>
      </c>
      <c r="G1" s="3" t="inlineStr">
        <is>
          <t>Status</t>
        </is>
      </c>
      <c r="H1" s="3" t="inlineStr">
        <is>
          <t>Resolution</t>
        </is>
      </c>
      <c r="I1" s="3" t="inlineStr">
        <is>
          <t>Priority</t>
        </is>
      </c>
      <c r="J1" s="3" t="inlineStr">
        <is>
          <t>Created</t>
        </is>
      </c>
      <c r="K1" s="3" t="inlineStr">
        <is>
          <t>Resolved</t>
        </is>
      </c>
      <c r="L1" s="3" t="inlineStr">
        <is>
          <t>Updated</t>
        </is>
      </c>
      <c r="M1" s="3" t="inlineStr">
        <is>
          <t>Sprint</t>
        </is>
      </c>
      <c r="N1" s="3" t="inlineStr">
        <is>
          <t>Time Spent</t>
        </is>
      </c>
      <c r="O1" s="3" t="inlineStr">
        <is>
          <t>Original Est</t>
        </is>
      </c>
      <c r="P1" s="3" t="inlineStr">
        <is>
          <t>Project</t>
        </is>
      </c>
      <c r="Q1" s="3" t="inlineStr">
        <is>
          <t>Labels</t>
        </is>
      </c>
      <c r="R1" s="3" t="inlineStr">
        <is>
          <t>Blockers</t>
        </is>
      </c>
      <c r="S1" s="3" t="inlineStr">
        <is>
          <t>Added Mid-Sprint</t>
        </is>
      </c>
    </row>
    <row r="2">
      <c r="A2" t="inlineStr">
        <is>
          <t>Task</t>
        </is>
      </c>
      <c r="B2" s="26" t="inlineStr">
        <is>
          <t>FILTER-12052</t>
        </is>
      </c>
      <c r="C2" s="18" t="inlineStr">
        <is>
          <t>Continuation task on -  FILTER-11919 - Complete the changes and give sessions to the team to consume it</t>
        </is>
      </c>
      <c r="D2" t="inlineStr"/>
      <c r="E2" t="inlineStr"/>
      <c r="F2" t="inlineStr">
        <is>
          <t>Harsh Verma</t>
        </is>
      </c>
      <c r="G2" t="inlineStr">
        <is>
          <t>Backlog</t>
        </is>
      </c>
      <c r="H2" t="inlineStr"/>
      <c r="I2" t="inlineStr">
        <is>
          <t>P3</t>
        </is>
      </c>
      <c r="J2" s="27" t="n">
        <v>46066</v>
      </c>
      <c r="L2" s="27" t="n">
        <v>46084</v>
      </c>
      <c r="M2" t="inlineStr">
        <is>
          <t>sprint-Dolly</t>
        </is>
      </c>
      <c r="N2" s="9" t="n">
        <v>0</v>
      </c>
      <c r="O2" s="9" t="n">
        <v>16</v>
      </c>
      <c r="P2" t="inlineStr">
        <is>
          <t>FILTER</t>
        </is>
      </c>
      <c r="Q2" t="inlineStr"/>
      <c r="R2" t="inlineStr"/>
      <c r="S2" t="inlineStr"/>
    </row>
    <row r="3">
      <c r="A3" t="inlineStr">
        <is>
          <t>Epic</t>
        </is>
      </c>
      <c r="B3" s="26" t="inlineStr">
        <is>
          <t>FILTER-12240</t>
        </is>
      </c>
      <c r="C3" s="18" t="inlineStr">
        <is>
          <t xml:space="preserve">[In All Frontend repos] - Making PR checks required and removing Jenkins Job dependency for merging the PRs </t>
        </is>
      </c>
      <c r="D3" t="inlineStr"/>
      <c r="E3" t="inlineStr"/>
      <c r="F3" t="inlineStr">
        <is>
          <t>Harsh Verma</t>
        </is>
      </c>
      <c r="G3" t="inlineStr">
        <is>
          <t>Backlog</t>
        </is>
      </c>
      <c r="H3" t="inlineStr"/>
      <c r="I3" t="inlineStr">
        <is>
          <t>P3</t>
        </is>
      </c>
      <c r="J3" s="27" t="n">
        <v>46079</v>
      </c>
      <c r="L3" s="27" t="n">
        <v>46084</v>
      </c>
      <c r="M3" t="inlineStr">
        <is>
          <t>sprint-Dolly</t>
        </is>
      </c>
      <c r="N3" s="9" t="n">
        <v>0</v>
      </c>
      <c r="O3" s="9" t="n">
        <v>0</v>
      </c>
      <c r="P3" t="inlineStr">
        <is>
          <t>FILTER</t>
        </is>
      </c>
      <c r="Q3" t="inlineStr">
        <is>
          <t>unplanned-sprint</t>
        </is>
      </c>
      <c r="R3" t="inlineStr"/>
      <c r="S3" t="inlineStr"/>
    </row>
  </sheetData>
  <autoFilter ref="A1:S3"/>
  <hyperlinks>
    <hyperlink xmlns:r="http://schemas.openxmlformats.org/officeDocument/2006/relationships" ref="B2" r:id="rId1"/>
    <hyperlink xmlns:r="http://schemas.openxmlformats.org/officeDocument/2006/relationships" ref="B3" r:id="rId2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60" customWidth="1" min="3" max="3"/>
    <col width="16" customWidth="1" min="4" max="4"/>
    <col width="14" customWidth="1" min="5" max="5"/>
    <col width="22" customWidth="1" min="6" max="6"/>
    <col width="18" customWidth="1" min="7" max="7"/>
    <col width="14" customWidth="1" min="8" max="8"/>
    <col width="10" customWidth="1" min="9" max="9"/>
    <col width="12" customWidth="1" min="10" max="10"/>
    <col width="12" customWidth="1" min="11" max="11"/>
    <col width="12" customWidth="1" min="12" max="12"/>
    <col width="18" customWidth="1" min="13" max="13"/>
    <col width="12" customWidth="1" min="14" max="14"/>
    <col width="12" customWidth="1" min="15" max="15"/>
    <col width="10" customWidth="1" min="16" max="16"/>
    <col width="18" customWidth="1" min="17" max="17"/>
    <col width="14" customWidth="1" min="18" max="18"/>
    <col width="16" customWidth="1" min="19" max="19"/>
  </cols>
  <sheetData>
    <row r="1">
      <c r="A1" s="3" t="inlineStr">
        <is>
          <t>Issue Type</t>
        </is>
      </c>
      <c r="B1" s="3" t="inlineStr">
        <is>
          <t>Issue key</t>
        </is>
      </c>
      <c r="C1" s="3" t="inlineStr">
        <is>
          <t>Summary</t>
        </is>
      </c>
      <c r="D1" s="3" t="inlineStr">
        <is>
          <t>Parent key</t>
        </is>
      </c>
      <c r="E1" s="3" t="inlineStr">
        <is>
          <t>Parent type</t>
        </is>
      </c>
      <c r="F1" s="3" t="inlineStr">
        <is>
          <t>Assignee</t>
        </is>
      </c>
      <c r="G1" s="3" t="inlineStr">
        <is>
          <t>Status</t>
        </is>
      </c>
      <c r="H1" s="3" t="inlineStr">
        <is>
          <t>Resolution</t>
        </is>
      </c>
      <c r="I1" s="3" t="inlineStr">
        <is>
          <t>Priority</t>
        </is>
      </c>
      <c r="J1" s="3" t="inlineStr">
        <is>
          <t>Created</t>
        </is>
      </c>
      <c r="K1" s="3" t="inlineStr">
        <is>
          <t>Resolved</t>
        </is>
      </c>
      <c r="L1" s="3" t="inlineStr">
        <is>
          <t>Updated</t>
        </is>
      </c>
      <c r="M1" s="3" t="inlineStr">
        <is>
          <t>Sprint</t>
        </is>
      </c>
      <c r="N1" s="3" t="inlineStr">
        <is>
          <t>Time Spent</t>
        </is>
      </c>
      <c r="O1" s="3" t="inlineStr">
        <is>
          <t>Original Est</t>
        </is>
      </c>
      <c r="P1" s="3" t="inlineStr">
        <is>
          <t>Project</t>
        </is>
      </c>
      <c r="Q1" s="3" t="inlineStr">
        <is>
          <t>Labels</t>
        </is>
      </c>
      <c r="R1" s="3" t="inlineStr">
        <is>
          <t>Blockers</t>
        </is>
      </c>
      <c r="S1" s="3" t="inlineStr">
        <is>
          <t>Added Mid-Sprint</t>
        </is>
      </c>
    </row>
    <row r="2">
      <c r="A2" s="20" t="inlineStr">
        <is>
          <t>Task</t>
        </is>
      </c>
      <c r="B2" s="21" t="inlineStr">
        <is>
          <t>FDSE-155</t>
        </is>
      </c>
      <c r="C2" s="22" t="inlineStr">
        <is>
          <t>Implementation for timepicker component</t>
        </is>
      </c>
      <c r="D2" s="20" t="inlineStr">
        <is>
          <t>FDSE-136</t>
        </is>
      </c>
      <c r="E2" s="20" t="inlineStr">
        <is>
          <t>Epic</t>
        </is>
      </c>
      <c r="F2" s="20" t="inlineStr">
        <is>
          <t>Swaroop Chavhan</t>
        </is>
      </c>
      <c r="G2" s="20" t="inlineStr">
        <is>
          <t>Open</t>
        </is>
      </c>
      <c r="H2" s="20" t="inlineStr"/>
      <c r="I2" s="20" t="inlineStr">
        <is>
          <t>P3</t>
        </is>
      </c>
      <c r="J2" s="23" t="n">
        <v>46051</v>
      </c>
      <c r="K2" s="20" t="n"/>
      <c r="L2" s="23" t="n">
        <v>46140</v>
      </c>
      <c r="M2" s="20" t="inlineStr">
        <is>
          <t>sprint-Dolly</t>
        </is>
      </c>
      <c r="N2" s="24" t="n">
        <v>0</v>
      </c>
      <c r="O2" s="24" t="n">
        <v>32</v>
      </c>
      <c r="P2" s="20" t="inlineStr">
        <is>
          <t>FDSE</t>
        </is>
      </c>
      <c r="Q2" s="20" t="inlineStr">
        <is>
          <t>product-filter</t>
        </is>
      </c>
      <c r="R2" s="20" t="inlineStr"/>
      <c r="S2" s="25" t="inlineStr">
        <is>
          <t>YES</t>
        </is>
      </c>
    </row>
    <row r="3">
      <c r="A3" s="20" t="inlineStr">
        <is>
          <t>Task</t>
        </is>
      </c>
      <c r="B3" s="21" t="inlineStr">
        <is>
          <t>FDSE-164</t>
        </is>
      </c>
      <c r="C3" s="22" t="inlineStr">
        <is>
          <t>Search with auto-complete component enhancement</t>
        </is>
      </c>
      <c r="D3" s="20" t="inlineStr">
        <is>
          <t>FDSE-174</t>
        </is>
      </c>
      <c r="E3" s="20" t="inlineStr">
        <is>
          <t>Epic</t>
        </is>
      </c>
      <c r="F3" s="20" t="inlineStr">
        <is>
          <t>Swaroop Chavhan</t>
        </is>
      </c>
      <c r="G3" s="20" t="inlineStr">
        <is>
          <t>Open</t>
        </is>
      </c>
      <c r="H3" s="20" t="inlineStr"/>
      <c r="I3" s="20" t="inlineStr">
        <is>
          <t>P3</t>
        </is>
      </c>
      <c r="J3" s="23" t="n">
        <v>46079</v>
      </c>
      <c r="K3" s="20" t="n"/>
      <c r="L3" s="23" t="n">
        <v>46140</v>
      </c>
      <c r="M3" s="20" t="inlineStr">
        <is>
          <t>sprint-Dolly</t>
        </is>
      </c>
      <c r="N3" s="24" t="n">
        <v>0</v>
      </c>
      <c r="O3" s="24" t="n">
        <v>20</v>
      </c>
      <c r="P3" s="20" t="inlineStr">
        <is>
          <t>FDSE</t>
        </is>
      </c>
      <c r="Q3" s="20" t="inlineStr">
        <is>
          <t>Capitalized-Feature, product-filter</t>
        </is>
      </c>
      <c r="R3" s="20" t="inlineStr"/>
      <c r="S3" s="25" t="inlineStr">
        <is>
          <t>YES</t>
        </is>
      </c>
    </row>
    <row r="4">
      <c r="A4" t="inlineStr">
        <is>
          <t>Story</t>
        </is>
      </c>
      <c r="B4" s="26" t="inlineStr">
        <is>
          <t>FILTER-11974</t>
        </is>
      </c>
      <c r="C4" s="18" t="inlineStr">
        <is>
          <t>Verify all Image Blur test cases for JS</t>
        </is>
      </c>
      <c r="D4" t="inlineStr">
        <is>
          <t>FILTER-11972</t>
        </is>
      </c>
      <c r="E4" t="inlineStr">
        <is>
          <t>Epic</t>
        </is>
      </c>
      <c r="F4" t="inlineStr">
        <is>
          <t>Altamash Heroli</t>
        </is>
      </c>
      <c r="G4" t="inlineStr">
        <is>
          <t>Done</t>
        </is>
      </c>
      <c r="H4" t="inlineStr"/>
      <c r="I4" t="inlineStr">
        <is>
          <t>P2</t>
        </is>
      </c>
      <c r="J4" s="27" t="n">
        <v>46058</v>
      </c>
      <c r="L4" s="27" t="n">
        <v>46127</v>
      </c>
      <c r="M4" t="inlineStr">
        <is>
          <t>sprint-Dolly</t>
        </is>
      </c>
      <c r="N4" s="9" t="n">
        <v>55</v>
      </c>
      <c r="O4" s="9" t="n">
        <v>65</v>
      </c>
      <c r="P4" t="inlineStr">
        <is>
          <t>FILTER</t>
        </is>
      </c>
      <c r="Q4" t="inlineStr"/>
      <c r="R4" t="inlineStr"/>
      <c r="S4" t="inlineStr"/>
    </row>
    <row r="5">
      <c r="A5" t="inlineStr">
        <is>
          <t>Escape Defect</t>
        </is>
      </c>
      <c r="B5" s="26" t="inlineStr">
        <is>
          <t>FILTER-9853</t>
        </is>
      </c>
      <c r="C5" s="18" t="inlineStr">
        <is>
          <t>Filter &gt;&gt; Activities and Emails for Blocked search terms on Yandex, Baidu and DuckDuckGo, do not have search query in external links</t>
        </is>
      </c>
      <c r="D5" t="inlineStr"/>
      <c r="E5" t="inlineStr"/>
      <c r="F5" t="inlineStr">
        <is>
          <t>Arun Thakur</t>
        </is>
      </c>
      <c r="G5" t="inlineStr">
        <is>
          <t>Open</t>
        </is>
      </c>
      <c r="H5" t="inlineStr"/>
      <c r="I5" t="inlineStr">
        <is>
          <t>P3</t>
        </is>
      </c>
      <c r="J5" s="27" t="n">
        <v>45900</v>
      </c>
      <c r="L5" s="27" t="n">
        <v>46122</v>
      </c>
      <c r="M5" t="inlineStr">
        <is>
          <t>sprint-Dolly</t>
        </is>
      </c>
      <c r="N5" s="9" t="n">
        <v>6.5</v>
      </c>
      <c r="O5" s="9" t="n">
        <v>2</v>
      </c>
      <c r="P5" t="inlineStr">
        <is>
          <t>FILTER</t>
        </is>
      </c>
      <c r="Q5" t="inlineStr"/>
      <c r="R5" t="inlineStr"/>
      <c r="S5" t="inlineStr"/>
    </row>
    <row r="6">
      <c r="A6" t="inlineStr">
        <is>
          <t>Task</t>
        </is>
      </c>
      <c r="B6" s="26" t="inlineStr">
        <is>
          <t>FILTER-10604</t>
        </is>
      </c>
      <c r="C6" s="18" t="inlineStr">
        <is>
          <t>Placeholder task to track the efforts used for Vanta tool task completion</t>
        </is>
      </c>
      <c r="D6" t="inlineStr"/>
      <c r="E6" t="inlineStr"/>
      <c r="F6" t="inlineStr">
        <is>
          <t>Harsh Verma</t>
        </is>
      </c>
      <c r="G6" t="inlineStr">
        <is>
          <t>In Progress</t>
        </is>
      </c>
      <c r="H6" t="inlineStr"/>
      <c r="I6" t="inlineStr">
        <is>
          <t>P3</t>
        </is>
      </c>
      <c r="J6" s="27" t="n">
        <v>45964</v>
      </c>
      <c r="L6" s="27" t="n">
        <v>46139</v>
      </c>
      <c r="M6" t="inlineStr">
        <is>
          <t>sprint-Dolly</t>
        </is>
      </c>
      <c r="N6" s="9" t="n">
        <v>0</v>
      </c>
      <c r="O6" s="9" t="n">
        <v>8</v>
      </c>
      <c r="P6" t="inlineStr">
        <is>
          <t>FILTER</t>
        </is>
      </c>
      <c r="Q6" t="inlineStr">
        <is>
          <t>unplanned-sprint</t>
        </is>
      </c>
      <c r="R6" t="inlineStr"/>
      <c r="S6" t="inlineStr"/>
    </row>
    <row r="7">
      <c r="A7" t="inlineStr">
        <is>
          <t>Task</t>
        </is>
      </c>
      <c r="B7" s="26" t="inlineStr">
        <is>
          <t>FILTER-11697</t>
        </is>
      </c>
      <c r="C7" s="18" t="inlineStr">
        <is>
          <t>Extension of FILTER-11605</t>
        </is>
      </c>
      <c r="D7" t="inlineStr"/>
      <c r="E7" t="inlineStr"/>
      <c r="F7" t="inlineStr">
        <is>
          <t>Harsh Verma</t>
        </is>
      </c>
      <c r="G7" t="inlineStr">
        <is>
          <t>In Progress</t>
        </is>
      </c>
      <c r="H7" t="inlineStr"/>
      <c r="I7" t="inlineStr">
        <is>
          <t>P3</t>
        </is>
      </c>
      <c r="J7" s="27" t="n">
        <v>46041</v>
      </c>
      <c r="L7" s="27" t="n">
        <v>46139</v>
      </c>
      <c r="M7" t="inlineStr">
        <is>
          <t>sprint-Dolly</t>
        </is>
      </c>
      <c r="N7" s="9" t="n">
        <v>0</v>
      </c>
      <c r="O7" s="9" t="n">
        <v>24</v>
      </c>
      <c r="P7" t="inlineStr">
        <is>
          <t>FILTER</t>
        </is>
      </c>
      <c r="Q7" t="inlineStr">
        <is>
          <t>unplanned-sprint</t>
        </is>
      </c>
      <c r="R7" t="inlineStr"/>
      <c r="S7" t="inlineStr"/>
    </row>
    <row r="8">
      <c r="A8" t="inlineStr">
        <is>
          <t>Escape Defect</t>
        </is>
      </c>
      <c r="B8" s="26" t="inlineStr">
        <is>
          <t>FILTER-12010</t>
        </is>
      </c>
      <c r="C8" s="18" t="inlineStr">
        <is>
          <t>P1 Escalation-Extension Bypass - Bookmark + stop page</t>
        </is>
      </c>
      <c r="D8" t="inlineStr"/>
      <c r="E8" t="inlineStr"/>
      <c r="F8" t="inlineStr">
        <is>
          <t>Pratik Tiwari</t>
        </is>
      </c>
      <c r="G8" t="inlineStr">
        <is>
          <t>Confirmation</t>
        </is>
      </c>
      <c r="H8" t="inlineStr">
        <is>
          <t>Fixed</t>
        </is>
      </c>
      <c r="I8" t="inlineStr">
        <is>
          <t>P1</t>
        </is>
      </c>
      <c r="J8" s="27" t="n">
        <v>46063</v>
      </c>
      <c r="K8" s="27" t="n">
        <v>46118</v>
      </c>
      <c r="L8" s="27" t="n">
        <v>46140</v>
      </c>
      <c r="M8" t="inlineStr">
        <is>
          <t>sprint-Dolly</t>
        </is>
      </c>
      <c r="N8" s="9" t="n">
        <v>20</v>
      </c>
      <c r="O8" s="9" t="n">
        <v>0</v>
      </c>
      <c r="P8" t="inlineStr">
        <is>
          <t>FILTER</t>
        </is>
      </c>
      <c r="Q8" t="inlineStr">
        <is>
          <t>jira_added, jira_confirmation, jira_done_notified, jira_escalated, jira_in_progress, jira_p1, jira_qa_verified, zendesk_enterprise, zendesk_org_at_risk</t>
        </is>
      </c>
      <c r="R8" t="inlineStr"/>
      <c r="S8" t="inlineStr"/>
    </row>
  </sheetData>
  <autoFilter ref="A1:S8"/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4" r:id="rId3"/>
    <hyperlink xmlns:r="http://schemas.openxmlformats.org/officeDocument/2006/relationships" ref="B5" r:id="rId4"/>
    <hyperlink xmlns:r="http://schemas.openxmlformats.org/officeDocument/2006/relationships" ref="B6" r:id="rId5"/>
    <hyperlink xmlns:r="http://schemas.openxmlformats.org/officeDocument/2006/relationships" ref="B7" r:id="rId6"/>
    <hyperlink xmlns:r="http://schemas.openxmlformats.org/officeDocument/2006/relationships" ref="B8" r:id="rId7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C00000"/>
    <outlinePr summaryBelow="1" summaryRight="1"/>
    <pageSetUpPr/>
  </sheetPr>
  <dimension ref="A1:S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60" customWidth="1" min="3" max="3"/>
    <col width="16" customWidth="1" min="4" max="4"/>
    <col width="14" customWidth="1" min="5" max="5"/>
    <col width="22" customWidth="1" min="6" max="6"/>
    <col width="18" customWidth="1" min="7" max="7"/>
    <col width="14" customWidth="1" min="8" max="8"/>
    <col width="10" customWidth="1" min="9" max="9"/>
    <col width="12" customWidth="1" min="10" max="10"/>
    <col width="12" customWidth="1" min="11" max="11"/>
    <col width="12" customWidth="1" min="12" max="12"/>
    <col width="18" customWidth="1" min="13" max="13"/>
    <col width="12" customWidth="1" min="14" max="14"/>
    <col width="12" customWidth="1" min="15" max="15"/>
    <col width="10" customWidth="1" min="16" max="16"/>
    <col width="18" customWidth="1" min="17" max="17"/>
    <col width="14" customWidth="1" min="18" max="18"/>
    <col width="14" customWidth="1" min="19" max="19"/>
  </cols>
  <sheetData>
    <row r="1">
      <c r="A1" s="15" t="inlineStr">
        <is>
          <t>P1 Escalation — FILTER · sprint-Dolly (2026-02-17 → 2026-03-02)</t>
        </is>
      </c>
    </row>
    <row r="2">
      <c r="A2" s="28" t="inlineStr">
        <is>
          <t>sprint-Dolly tickets where Issue Type = Escape Defect AND Priority = P1 AND summary contains 'P1 Escalation' (regardless of bucket). Total = 5.</t>
        </is>
      </c>
    </row>
    <row r="4">
      <c r="A4" s="29" t="inlineStr">
        <is>
          <t>Issue Type</t>
        </is>
      </c>
      <c r="B4" s="29" t="inlineStr">
        <is>
          <t>Issue key</t>
        </is>
      </c>
      <c r="C4" s="29" t="inlineStr">
        <is>
          <t>Summary</t>
        </is>
      </c>
      <c r="D4" s="29" t="inlineStr">
        <is>
          <t>Parent key</t>
        </is>
      </c>
      <c r="E4" s="29" t="inlineStr">
        <is>
          <t>Parent type</t>
        </is>
      </c>
      <c r="F4" s="29" t="inlineStr">
        <is>
          <t>Assignee</t>
        </is>
      </c>
      <c r="G4" s="29" t="inlineStr">
        <is>
          <t>Status</t>
        </is>
      </c>
      <c r="H4" s="29" t="inlineStr">
        <is>
          <t>Resolution</t>
        </is>
      </c>
      <c r="I4" s="29" t="inlineStr">
        <is>
          <t>Priority</t>
        </is>
      </c>
      <c r="J4" s="29" t="inlineStr">
        <is>
          <t>Created</t>
        </is>
      </c>
      <c r="K4" s="29" t="inlineStr">
        <is>
          <t>Resolved</t>
        </is>
      </c>
      <c r="L4" s="29" t="inlineStr">
        <is>
          <t>Updated</t>
        </is>
      </c>
      <c r="M4" s="29" t="inlineStr">
        <is>
          <t>Sprint</t>
        </is>
      </c>
      <c r="N4" s="29" t="inlineStr">
        <is>
          <t>Time Spent</t>
        </is>
      </c>
      <c r="O4" s="29" t="inlineStr">
        <is>
          <t>Original Est</t>
        </is>
      </c>
      <c r="P4" s="29" t="inlineStr">
        <is>
          <t>Project</t>
        </is>
      </c>
      <c r="Q4" s="29" t="inlineStr">
        <is>
          <t>Labels</t>
        </is>
      </c>
      <c r="R4" s="29" t="inlineStr">
        <is>
          <t>Blockers</t>
        </is>
      </c>
      <c r="S4" s="29" t="inlineStr">
        <is>
          <t>Bucket</t>
        </is>
      </c>
    </row>
    <row r="5">
      <c r="A5" s="30" t="inlineStr">
        <is>
          <t>Escape Defect</t>
        </is>
      </c>
      <c r="B5" s="31" t="inlineStr">
        <is>
          <t>FILTER-11610</t>
        </is>
      </c>
      <c r="C5" s="32" t="inlineStr">
        <is>
          <t>P1 Escalation-CORs Errors at BlueBeam and Boomerang S3 Amazon domains | St. Vrain</t>
        </is>
      </c>
      <c r="D5" s="30" t="inlineStr"/>
      <c r="E5" s="30" t="inlineStr"/>
      <c r="F5" s="30" t="inlineStr">
        <is>
          <t>Ramani Cheruvu</t>
        </is>
      </c>
      <c r="G5" s="30" t="inlineStr">
        <is>
          <t>In Progress</t>
        </is>
      </c>
      <c r="H5" s="30" t="inlineStr">
        <is>
          <t>Fixed</t>
        </is>
      </c>
      <c r="I5" s="30" t="inlineStr">
        <is>
          <t>P1</t>
        </is>
      </c>
      <c r="J5" s="33" t="n">
        <v>46030</v>
      </c>
      <c r="K5" s="33" t="n">
        <v>46049</v>
      </c>
      <c r="L5" s="33" t="n">
        <v>46139</v>
      </c>
      <c r="M5" s="30" t="inlineStr">
        <is>
          <t>sprint-Dolly</t>
        </is>
      </c>
      <c r="N5" s="34" t="n">
        <v>0</v>
      </c>
      <c r="O5" s="34" t="n">
        <v>0</v>
      </c>
      <c r="P5" s="30" t="inlineStr">
        <is>
          <t>FILTER</t>
        </is>
      </c>
      <c r="Q5" s="30" t="inlineStr">
        <is>
          <t>Reverified-2026, jira_added, jira_backlog, jira_escalated, jira_in_progress, jira_open, jira_p1, jira_reopened, p1escalation, unplanned-sprint, zendesk_enterprise</t>
        </is>
      </c>
      <c r="R5" s="30" t="inlineStr"/>
      <c r="S5" s="35" t="inlineStr">
        <is>
          <t>Removed</t>
        </is>
      </c>
    </row>
    <row r="6">
      <c r="A6" t="inlineStr">
        <is>
          <t>Escape Defect</t>
        </is>
      </c>
      <c r="B6" s="26" t="inlineStr">
        <is>
          <t>FILTER-11964</t>
        </is>
      </c>
      <c r="C6" s="18" t="inlineStr">
        <is>
          <t xml:space="preserve">P1 Escalation-Extension bypass by overloading Chromebook </t>
        </is>
      </c>
      <c r="D6" t="inlineStr"/>
      <c r="E6" t="inlineStr"/>
      <c r="F6" t="inlineStr">
        <is>
          <t>Dmitri Zhylienkov</t>
        </is>
      </c>
      <c r="G6" t="inlineStr">
        <is>
          <t>Closed</t>
        </is>
      </c>
      <c r="H6" t="inlineStr">
        <is>
          <t>Cannot Reproduce</t>
        </is>
      </c>
      <c r="I6" t="inlineStr">
        <is>
          <t>P1</t>
        </is>
      </c>
      <c r="J6" s="27" t="n">
        <v>46057</v>
      </c>
      <c r="K6" s="27" t="n">
        <v>46075</v>
      </c>
      <c r="L6" s="27" t="n">
        <v>46077</v>
      </c>
      <c r="M6" t="inlineStr">
        <is>
          <t>sprint-Dolly</t>
        </is>
      </c>
      <c r="N6" s="9" t="n">
        <v>0</v>
      </c>
      <c r="O6" s="9" t="n">
        <v>0</v>
      </c>
      <c r="P6" t="inlineStr">
        <is>
          <t>FILTER</t>
        </is>
      </c>
      <c r="Q6" t="inlineStr">
        <is>
          <t>jira_added, jira_escalated, jira_open, p1escalation</t>
        </is>
      </c>
      <c r="R6" t="inlineStr"/>
      <c r="S6" t="inlineStr">
        <is>
          <t>Completed</t>
        </is>
      </c>
    </row>
    <row r="7">
      <c r="A7" t="inlineStr">
        <is>
          <t>Escape Defect</t>
        </is>
      </c>
      <c r="B7" s="26" t="inlineStr">
        <is>
          <t>FILTER-12010</t>
        </is>
      </c>
      <c r="C7" s="18" t="inlineStr">
        <is>
          <t>P1 Escalation-Extension Bypass - Bookmark + stop page</t>
        </is>
      </c>
      <c r="D7" t="inlineStr"/>
      <c r="E7" t="inlineStr"/>
      <c r="F7" t="inlineStr">
        <is>
          <t>Pratik Tiwari</t>
        </is>
      </c>
      <c r="G7" t="inlineStr">
        <is>
          <t>Confirmation</t>
        </is>
      </c>
      <c r="H7" t="inlineStr">
        <is>
          <t>Fixed</t>
        </is>
      </c>
      <c r="I7" t="inlineStr">
        <is>
          <t>P1</t>
        </is>
      </c>
      <c r="J7" s="27" t="n">
        <v>46063</v>
      </c>
      <c r="K7" s="27" t="n">
        <v>46118</v>
      </c>
      <c r="L7" s="27" t="n">
        <v>46140</v>
      </c>
      <c r="M7" t="inlineStr">
        <is>
          <t>sprint-Dolly</t>
        </is>
      </c>
      <c r="N7" s="9" t="n">
        <v>20</v>
      </c>
      <c r="O7" s="9" t="n">
        <v>0</v>
      </c>
      <c r="P7" t="inlineStr">
        <is>
          <t>FILTER</t>
        </is>
      </c>
      <c r="Q7" t="inlineStr">
        <is>
          <t>jira_added, jira_confirmation, jira_done_notified, jira_escalated, jira_in_progress, jira_p1, jira_qa_verified, zendesk_enterprise, zendesk_org_at_risk</t>
        </is>
      </c>
      <c r="R7" t="inlineStr"/>
      <c r="S7" t="inlineStr">
        <is>
          <t>Removed</t>
        </is>
      </c>
    </row>
    <row r="8">
      <c r="A8" t="inlineStr">
        <is>
          <t>Escape Defect</t>
        </is>
      </c>
      <c r="B8" s="26" t="inlineStr">
        <is>
          <t>FILTER-11985</t>
        </is>
      </c>
      <c r="C8" s="18" t="inlineStr">
        <is>
          <t>P1 Escalation-Extension bypass by adding a string at the end of the site</t>
        </is>
      </c>
      <c r="D8" t="inlineStr"/>
      <c r="E8" t="inlineStr"/>
      <c r="F8" t="inlineStr">
        <is>
          <t>Shashank Tiwari</t>
        </is>
      </c>
      <c r="G8" t="inlineStr">
        <is>
          <t>Done</t>
        </is>
      </c>
      <c r="H8" t="inlineStr">
        <is>
          <t>Fixed</t>
        </is>
      </c>
      <c r="I8" t="inlineStr">
        <is>
          <t>P1</t>
        </is>
      </c>
      <c r="J8" s="27" t="n">
        <v>46059</v>
      </c>
      <c r="K8" s="27" t="n">
        <v>46078</v>
      </c>
      <c r="L8" s="27" t="n">
        <v>46128</v>
      </c>
      <c r="M8" t="inlineStr">
        <is>
          <t>sprint-Dolly</t>
        </is>
      </c>
      <c r="N8" s="9" t="n">
        <v>27</v>
      </c>
      <c r="O8" s="9" t="n">
        <v>12</v>
      </c>
      <c r="P8" t="inlineStr">
        <is>
          <t>FILTER</t>
        </is>
      </c>
      <c r="Q8" t="inlineStr">
        <is>
          <t>jira_added, jira_closed_notify, jira_done, jira_escalated, jira_p1, jira_qa_verified, zendesk_enterprise</t>
        </is>
      </c>
      <c r="R8" t="inlineStr"/>
      <c r="S8" t="inlineStr">
        <is>
          <t>Removed</t>
        </is>
      </c>
    </row>
    <row r="9">
      <c r="A9" t="inlineStr">
        <is>
          <t>Escape Defect</t>
        </is>
      </c>
      <c r="B9" s="26" t="inlineStr">
        <is>
          <t>FILTER-12012</t>
        </is>
      </c>
      <c r="C9" s="18" t="inlineStr">
        <is>
          <t>P1 Escalation-drive.google.com.108.181.32.77.sslip.io is not blocking for extension filtering</t>
        </is>
      </c>
      <c r="D9" t="inlineStr"/>
      <c r="E9" t="inlineStr"/>
      <c r="F9" t="inlineStr">
        <is>
          <t>Shashank Tiwari</t>
        </is>
      </c>
      <c r="G9" t="inlineStr">
        <is>
          <t>Done</t>
        </is>
      </c>
      <c r="H9" t="inlineStr">
        <is>
          <t>Fixed</t>
        </is>
      </c>
      <c r="I9" t="inlineStr">
        <is>
          <t>P1</t>
        </is>
      </c>
      <c r="J9" s="27" t="n">
        <v>46063</v>
      </c>
      <c r="K9" s="27" t="n">
        <v>46086</v>
      </c>
      <c r="L9" s="27" t="n">
        <v>46128</v>
      </c>
      <c r="M9" t="inlineStr">
        <is>
          <t>sprint-Dolly</t>
        </is>
      </c>
      <c r="N9" s="9" t="n">
        <v>0.2</v>
      </c>
      <c r="O9" s="9" t="n">
        <v>0</v>
      </c>
      <c r="P9" t="inlineStr">
        <is>
          <t>FILTER</t>
        </is>
      </c>
      <c r="Q9" t="inlineStr">
        <is>
          <t>jira_added, jira_done, jira_escalated, jira_p1, zendesk_enterprise</t>
        </is>
      </c>
      <c r="R9" t="inlineStr"/>
      <c r="S9" t="inlineStr">
        <is>
          <t>Removed</t>
        </is>
      </c>
    </row>
  </sheetData>
  <autoFilter ref="A4:S9"/>
  <mergeCells count="2">
    <mergeCell ref="A2:R2"/>
    <mergeCell ref="A1:R1"/>
  </mergeCells>
  <hyperlinks>
    <hyperlink xmlns:r="http://schemas.openxmlformats.org/officeDocument/2006/relationships" ref="B5" r:id="rId1"/>
    <hyperlink xmlns:r="http://schemas.openxmlformats.org/officeDocument/2006/relationships" ref="B6" r:id="rId2"/>
    <hyperlink xmlns:r="http://schemas.openxmlformats.org/officeDocument/2006/relationships" ref="B7" r:id="rId3"/>
    <hyperlink xmlns:r="http://schemas.openxmlformats.org/officeDocument/2006/relationships" ref="B8" r:id="rId4"/>
    <hyperlink xmlns:r="http://schemas.openxmlformats.org/officeDocument/2006/relationships" ref="B9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2026-04-29T03:06:29Z</dcterms:created>
  <dcterms:modified xsi:type="dcterms:W3CDTF">2026-04-29T03:06:29Z</dcterms:modified>
</cp:coreProperties>
</file>