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'Completed'!$A$1:$S$146</definedName>
    <definedName name="_xlnm._FilterDatabase" localSheetId="3" hidden="1">'Not Completed'!$A$1:$S$13</definedName>
    <definedName name="_xlnm._FilterDatabase" localSheetId="4" hidden="1">'Removed'!$A$1:$S$13</definedName>
    <definedName name="_xlnm._FilterDatabase" localSheetId="5" hidden="1">'P1 Escalation'!$A$4:$S$17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6" borderId="0" pivotButton="0" quotePrefix="0" xfId="0"/>
    <xf numFmtId="0" fontId="9" fillId="6" borderId="0" pivotButton="0" quotePrefix="0" xfId="0"/>
    <xf numFmtId="0" fontId="0" fillId="6" borderId="0" applyAlignment="1" pivotButton="0" quotePrefix="0" xfId="0">
      <alignment vertical="top" wrapText="1"/>
    </xf>
    <xf numFmtId="167" fontId="0" fillId="6" borderId="0" pivotButton="0" quotePrefix="0" xfId="0"/>
    <xf numFmtId="2" fontId="0" fillId="6" borderId="0" pivotButton="0" quotePrefix="0" xfId="0"/>
    <xf numFmtId="0" fontId="8" fillId="6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7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0" fillId="8" borderId="0" applyAlignment="1" pivotButton="0" quotePrefix="0" xfId="0">
      <alignment vertical="top" wrapText="1"/>
    </xf>
    <xf numFmtId="167" fontId="0" fillId="8" borderId="0" pivotButton="0" quotePrefix="0" xfId="0"/>
    <xf numFmtId="2" fontId="0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1747" TargetMode="External" Id="rId1" /><Relationship Type="http://schemas.openxmlformats.org/officeDocument/2006/relationships/hyperlink" Target="https://securly.atlassian.net/browse/FILTER-11787" TargetMode="External" Id="rId2" /><Relationship Type="http://schemas.openxmlformats.org/officeDocument/2006/relationships/hyperlink" Target="https://securly.atlassian.net/browse/FILTER-7871" TargetMode="External" Id="rId3" /><Relationship Type="http://schemas.openxmlformats.org/officeDocument/2006/relationships/hyperlink" Target="https://securly.atlassian.net/browse/FILTER-11743" TargetMode="External" Id="rId4" /><Relationship Type="http://schemas.openxmlformats.org/officeDocument/2006/relationships/hyperlink" Target="https://securly.atlassian.net/browse/FILTER-11695" TargetMode="External" Id="rId5" /><Relationship Type="http://schemas.openxmlformats.org/officeDocument/2006/relationships/hyperlink" Target="https://securly.atlassian.net/browse/FILTER-11696" TargetMode="External" Id="rId6" /><Relationship Type="http://schemas.openxmlformats.org/officeDocument/2006/relationships/hyperlink" Target="https://securly.atlassian.net/browse/FILTER-11698" TargetMode="External" Id="rId7" /><Relationship Type="http://schemas.openxmlformats.org/officeDocument/2006/relationships/hyperlink" Target="https://securly.atlassian.net/browse/FILTER-11770" TargetMode="External" Id="rId8" /><Relationship Type="http://schemas.openxmlformats.org/officeDocument/2006/relationships/hyperlink" Target="https://securly.atlassian.net/browse/FDSE-141" TargetMode="External" Id="rId9" /><Relationship Type="http://schemas.openxmlformats.org/officeDocument/2006/relationships/hyperlink" Target="https://securly.atlassian.net/browse/FILTER-11590" TargetMode="External" Id="rId10" /><Relationship Type="http://schemas.openxmlformats.org/officeDocument/2006/relationships/hyperlink" Target="https://securly.atlassian.net/browse/FILTER-8535" TargetMode="External" Id="rId11" /><Relationship Type="http://schemas.openxmlformats.org/officeDocument/2006/relationships/hyperlink" Target="https://securly.atlassian.net/browse/FDSE-147" TargetMode="External" Id="rId12" /><Relationship Type="http://schemas.openxmlformats.org/officeDocument/2006/relationships/hyperlink" Target="https://securly.atlassian.net/browse/FILTER-10858" TargetMode="External" Id="rId13" /><Relationship Type="http://schemas.openxmlformats.org/officeDocument/2006/relationships/hyperlink" Target="https://securly.atlassian.net/browse/FILTER-10861" TargetMode="External" Id="rId14" /><Relationship Type="http://schemas.openxmlformats.org/officeDocument/2006/relationships/hyperlink" Target="https://securly.atlassian.net/browse/FILTER-10864" TargetMode="External" Id="rId15" /><Relationship Type="http://schemas.openxmlformats.org/officeDocument/2006/relationships/hyperlink" Target="https://securly.atlassian.net/browse/FILTER-10867" TargetMode="External" Id="rId16" /><Relationship Type="http://schemas.openxmlformats.org/officeDocument/2006/relationships/hyperlink" Target="https://securly.atlassian.net/browse/FILTER-10870" TargetMode="External" Id="rId17" /><Relationship Type="http://schemas.openxmlformats.org/officeDocument/2006/relationships/hyperlink" Target="https://securly.atlassian.net/browse/FILTER-10874" TargetMode="External" Id="rId18" /><Relationship Type="http://schemas.openxmlformats.org/officeDocument/2006/relationships/hyperlink" Target="https://securly.atlassian.net/browse/FILTER-10877" TargetMode="External" Id="rId19" /><Relationship Type="http://schemas.openxmlformats.org/officeDocument/2006/relationships/hyperlink" Target="https://securly.atlassian.net/browse/FILTER-10881" TargetMode="External" Id="rId20" /><Relationship Type="http://schemas.openxmlformats.org/officeDocument/2006/relationships/hyperlink" Target="https://securly.atlassian.net/browse/FILTER-10884" TargetMode="External" Id="rId21" /><Relationship Type="http://schemas.openxmlformats.org/officeDocument/2006/relationships/hyperlink" Target="https://securly.atlassian.net/browse/FILTER-10887" TargetMode="External" Id="rId22" /><Relationship Type="http://schemas.openxmlformats.org/officeDocument/2006/relationships/hyperlink" Target="https://securly.atlassian.net/browse/FILTER-10890" TargetMode="External" Id="rId23" /><Relationship Type="http://schemas.openxmlformats.org/officeDocument/2006/relationships/hyperlink" Target="https://securly.atlassian.net/browse/FILTER-10893" TargetMode="External" Id="rId24" /><Relationship Type="http://schemas.openxmlformats.org/officeDocument/2006/relationships/hyperlink" Target="https://securly.atlassian.net/browse/FILTER-10896" TargetMode="External" Id="rId25" /><Relationship Type="http://schemas.openxmlformats.org/officeDocument/2006/relationships/hyperlink" Target="https://securly.atlassian.net/browse/FILTER-10899" TargetMode="External" Id="rId26" /><Relationship Type="http://schemas.openxmlformats.org/officeDocument/2006/relationships/hyperlink" Target="https://securly.atlassian.net/browse/FILTER-11077" TargetMode="External" Id="rId27" /><Relationship Type="http://schemas.openxmlformats.org/officeDocument/2006/relationships/hyperlink" Target="https://securly.atlassian.net/browse/FILTER-11080" TargetMode="External" Id="rId28" /><Relationship Type="http://schemas.openxmlformats.org/officeDocument/2006/relationships/hyperlink" Target="https://securly.atlassian.net/browse/FILTER-11083" TargetMode="External" Id="rId29" /><Relationship Type="http://schemas.openxmlformats.org/officeDocument/2006/relationships/hyperlink" Target="https://securly.atlassian.net/browse/FILTER-11086" TargetMode="External" Id="rId30" /><Relationship Type="http://schemas.openxmlformats.org/officeDocument/2006/relationships/hyperlink" Target="https://securly.atlassian.net/browse/FILTER-11090" TargetMode="External" Id="rId31" /><Relationship Type="http://schemas.openxmlformats.org/officeDocument/2006/relationships/hyperlink" Target="https://securly.atlassian.net/browse/FILTER-11093" TargetMode="External" Id="rId32" /><Relationship Type="http://schemas.openxmlformats.org/officeDocument/2006/relationships/hyperlink" Target="https://securly.atlassian.net/browse/FILTER-11101" TargetMode="External" Id="rId33" /><Relationship Type="http://schemas.openxmlformats.org/officeDocument/2006/relationships/hyperlink" Target="https://securly.atlassian.net/browse/FILTER-11104" TargetMode="External" Id="rId34" /><Relationship Type="http://schemas.openxmlformats.org/officeDocument/2006/relationships/hyperlink" Target="https://securly.atlassian.net/browse/FILTER-11107" TargetMode="External" Id="rId35" /><Relationship Type="http://schemas.openxmlformats.org/officeDocument/2006/relationships/hyperlink" Target="https://securly.atlassian.net/browse/FILTER-11110" TargetMode="External" Id="rId36" /><Relationship Type="http://schemas.openxmlformats.org/officeDocument/2006/relationships/hyperlink" Target="https://securly.atlassian.net/browse/FILTER-11113" TargetMode="External" Id="rId37" /><Relationship Type="http://schemas.openxmlformats.org/officeDocument/2006/relationships/hyperlink" Target="https://securly.atlassian.net/browse/FILTER-11209" TargetMode="External" Id="rId38" /><Relationship Type="http://schemas.openxmlformats.org/officeDocument/2006/relationships/hyperlink" Target="https://securly.atlassian.net/browse/FILTER-11281" TargetMode="External" Id="rId39" /><Relationship Type="http://schemas.openxmlformats.org/officeDocument/2006/relationships/hyperlink" Target="https://securly.atlassian.net/browse/FILTER-11284" TargetMode="External" Id="rId40" /><Relationship Type="http://schemas.openxmlformats.org/officeDocument/2006/relationships/hyperlink" Target="https://securly.atlassian.net/browse/FILTER-11542" TargetMode="External" Id="rId41" /><Relationship Type="http://schemas.openxmlformats.org/officeDocument/2006/relationships/hyperlink" Target="https://securly.atlassian.net/browse/FILTER-11641" TargetMode="External" Id="rId42" /><Relationship Type="http://schemas.openxmlformats.org/officeDocument/2006/relationships/hyperlink" Target="https://securly.atlassian.net/browse/FILTER-11648" TargetMode="External" Id="rId43" /><Relationship Type="http://schemas.openxmlformats.org/officeDocument/2006/relationships/hyperlink" Target="https://securly.atlassian.net/browse/FILTER-11730" TargetMode="External" Id="rId44" /><Relationship Type="http://schemas.openxmlformats.org/officeDocument/2006/relationships/hyperlink" Target="https://securly.atlassian.net/browse/FILTER-11738" TargetMode="External" Id="rId45" /><Relationship Type="http://schemas.openxmlformats.org/officeDocument/2006/relationships/hyperlink" Target="https://securly.atlassian.net/browse/FILTER-11739" TargetMode="External" Id="rId46" /><Relationship Type="http://schemas.openxmlformats.org/officeDocument/2006/relationships/hyperlink" Target="https://securly.atlassian.net/browse/FILTER-10857" TargetMode="External" Id="rId47" /><Relationship Type="http://schemas.openxmlformats.org/officeDocument/2006/relationships/hyperlink" Target="https://securly.atlassian.net/browse/FILTER-10860" TargetMode="External" Id="rId48" /><Relationship Type="http://schemas.openxmlformats.org/officeDocument/2006/relationships/hyperlink" Target="https://securly.atlassian.net/browse/FILTER-10863" TargetMode="External" Id="rId49" /><Relationship Type="http://schemas.openxmlformats.org/officeDocument/2006/relationships/hyperlink" Target="https://securly.atlassian.net/browse/FILTER-10866" TargetMode="External" Id="rId50" /><Relationship Type="http://schemas.openxmlformats.org/officeDocument/2006/relationships/hyperlink" Target="https://securly.atlassian.net/browse/FILTER-10869" TargetMode="External" Id="rId51" /><Relationship Type="http://schemas.openxmlformats.org/officeDocument/2006/relationships/hyperlink" Target="https://securly.atlassian.net/browse/FILTER-11089" TargetMode="External" Id="rId52" /><Relationship Type="http://schemas.openxmlformats.org/officeDocument/2006/relationships/hyperlink" Target="https://securly.atlassian.net/browse/FILTER-11092" TargetMode="External" Id="rId53" /><Relationship Type="http://schemas.openxmlformats.org/officeDocument/2006/relationships/hyperlink" Target="https://securly.atlassian.net/browse/FILTER-11468" TargetMode="External" Id="rId54" /><Relationship Type="http://schemas.openxmlformats.org/officeDocument/2006/relationships/hyperlink" Target="https://securly.atlassian.net/browse/FILTER-11541" TargetMode="External" Id="rId55" /><Relationship Type="http://schemas.openxmlformats.org/officeDocument/2006/relationships/hyperlink" Target="https://securly.atlassian.net/browse/FILTER-11663" TargetMode="External" Id="rId56" /><Relationship Type="http://schemas.openxmlformats.org/officeDocument/2006/relationships/hyperlink" Target="https://securly.atlassian.net/browse/FILTER-10624" TargetMode="External" Id="rId57" /><Relationship Type="http://schemas.openxmlformats.org/officeDocument/2006/relationships/hyperlink" Target="https://securly.atlassian.net/browse/FILTER-11917" TargetMode="External" Id="rId58" /><Relationship Type="http://schemas.openxmlformats.org/officeDocument/2006/relationships/hyperlink" Target="https://securly.atlassian.net/browse/FILTER-10237" TargetMode="External" Id="rId59" /><Relationship Type="http://schemas.openxmlformats.org/officeDocument/2006/relationships/hyperlink" Target="https://securly.atlassian.net/browse/FILTER-11377" TargetMode="External" Id="rId60" /><Relationship Type="http://schemas.openxmlformats.org/officeDocument/2006/relationships/hyperlink" Target="https://securly.atlassian.net/browse/FILTER-11391" TargetMode="External" Id="rId61" /><Relationship Type="http://schemas.openxmlformats.org/officeDocument/2006/relationships/hyperlink" Target="https://securly.atlassian.net/browse/FILTER-11810" TargetMode="External" Id="rId62" /><Relationship Type="http://schemas.openxmlformats.org/officeDocument/2006/relationships/hyperlink" Target="https://securly.atlassian.net/browse/FILTER-11279" TargetMode="External" Id="rId63" /><Relationship Type="http://schemas.openxmlformats.org/officeDocument/2006/relationships/hyperlink" Target="https://securly.atlassian.net/browse/FILTER-11282" TargetMode="External" Id="rId64" /><Relationship Type="http://schemas.openxmlformats.org/officeDocument/2006/relationships/hyperlink" Target="https://securly.atlassian.net/browse/FILTER-11647" TargetMode="External" Id="rId65" /><Relationship Type="http://schemas.openxmlformats.org/officeDocument/2006/relationships/hyperlink" Target="https://securly.atlassian.net/browse/FILTER-11662" TargetMode="External" Id="rId66" /><Relationship Type="http://schemas.openxmlformats.org/officeDocument/2006/relationships/hyperlink" Target="https://securly.atlassian.net/browse/FILTER-11681" TargetMode="External" Id="rId67" /><Relationship Type="http://schemas.openxmlformats.org/officeDocument/2006/relationships/hyperlink" Target="https://securly.atlassian.net/browse/FILTER-11809" TargetMode="External" Id="rId68" /><Relationship Type="http://schemas.openxmlformats.org/officeDocument/2006/relationships/hyperlink" Target="https://securly.atlassian.net/browse/FILTER-11509" TargetMode="External" Id="rId69" /><Relationship Type="http://schemas.openxmlformats.org/officeDocument/2006/relationships/hyperlink" Target="https://securly.atlassian.net/browse/FILTER-11576" TargetMode="External" Id="rId70" /><Relationship Type="http://schemas.openxmlformats.org/officeDocument/2006/relationships/hyperlink" Target="https://securly.atlassian.net/browse/FILTER-11594" TargetMode="External" Id="rId71" /><Relationship Type="http://schemas.openxmlformats.org/officeDocument/2006/relationships/hyperlink" Target="https://securly.atlassian.net/browse/FILTER-11733" TargetMode="External" Id="rId72" /><Relationship Type="http://schemas.openxmlformats.org/officeDocument/2006/relationships/hyperlink" Target="https://securly.atlassian.net/browse/FILTER-11785" TargetMode="External" Id="rId73" /><Relationship Type="http://schemas.openxmlformats.org/officeDocument/2006/relationships/hyperlink" Target="https://securly.atlassian.net/browse/FILTER-11786" TargetMode="External" Id="rId74" /><Relationship Type="http://schemas.openxmlformats.org/officeDocument/2006/relationships/hyperlink" Target="https://securly.atlassian.net/browse/FILTER-11821" TargetMode="External" Id="rId75" /><Relationship Type="http://schemas.openxmlformats.org/officeDocument/2006/relationships/hyperlink" Target="https://securly.atlassian.net/browse/FILTER-11823" TargetMode="External" Id="rId76" /><Relationship Type="http://schemas.openxmlformats.org/officeDocument/2006/relationships/hyperlink" Target="https://securly.atlassian.net/browse/FDSE-140" TargetMode="External" Id="rId77" /><Relationship Type="http://schemas.openxmlformats.org/officeDocument/2006/relationships/hyperlink" Target="https://securly.atlassian.net/browse/FILTER-11584" TargetMode="External" Id="rId78" /><Relationship Type="http://schemas.openxmlformats.org/officeDocument/2006/relationships/hyperlink" Target="https://securly.atlassian.net/browse/FILTER-10854" TargetMode="External" Id="rId79" /><Relationship Type="http://schemas.openxmlformats.org/officeDocument/2006/relationships/hyperlink" Target="https://securly.atlassian.net/browse/FILTER-10859" TargetMode="External" Id="rId80" /><Relationship Type="http://schemas.openxmlformats.org/officeDocument/2006/relationships/hyperlink" Target="https://securly.atlassian.net/browse/FILTER-10862" TargetMode="External" Id="rId81" /><Relationship Type="http://schemas.openxmlformats.org/officeDocument/2006/relationships/hyperlink" Target="https://securly.atlassian.net/browse/FILTER-10865" TargetMode="External" Id="rId82" /><Relationship Type="http://schemas.openxmlformats.org/officeDocument/2006/relationships/hyperlink" Target="https://securly.atlassian.net/browse/FILTER-10868" TargetMode="External" Id="rId83" /><Relationship Type="http://schemas.openxmlformats.org/officeDocument/2006/relationships/hyperlink" Target="https://securly.atlassian.net/browse/FILTER-10872" TargetMode="External" Id="rId84" /><Relationship Type="http://schemas.openxmlformats.org/officeDocument/2006/relationships/hyperlink" Target="https://securly.atlassian.net/browse/FILTER-10875" TargetMode="External" Id="rId85" /><Relationship Type="http://schemas.openxmlformats.org/officeDocument/2006/relationships/hyperlink" Target="https://securly.atlassian.net/browse/FILTER-10882" TargetMode="External" Id="rId86" /><Relationship Type="http://schemas.openxmlformats.org/officeDocument/2006/relationships/hyperlink" Target="https://securly.atlassian.net/browse/FILTER-11075" TargetMode="External" Id="rId87" /><Relationship Type="http://schemas.openxmlformats.org/officeDocument/2006/relationships/hyperlink" Target="https://securly.atlassian.net/browse/FILTER-11078" TargetMode="External" Id="rId88" /><Relationship Type="http://schemas.openxmlformats.org/officeDocument/2006/relationships/hyperlink" Target="https://securly.atlassian.net/browse/FILTER-11081" TargetMode="External" Id="rId89" /><Relationship Type="http://schemas.openxmlformats.org/officeDocument/2006/relationships/hyperlink" Target="https://securly.atlassian.net/browse/FILTER-11084" TargetMode="External" Id="rId90" /><Relationship Type="http://schemas.openxmlformats.org/officeDocument/2006/relationships/hyperlink" Target="https://securly.atlassian.net/browse/FILTER-11683" TargetMode="External" Id="rId91" /><Relationship Type="http://schemas.openxmlformats.org/officeDocument/2006/relationships/hyperlink" Target="https://securly.atlassian.net/browse/FILTER-11699" TargetMode="External" Id="rId92" /><Relationship Type="http://schemas.openxmlformats.org/officeDocument/2006/relationships/hyperlink" Target="https://securly.atlassian.net/browse/FILTER-11703" TargetMode="External" Id="rId93" /><Relationship Type="http://schemas.openxmlformats.org/officeDocument/2006/relationships/hyperlink" Target="https://securly.atlassian.net/browse/FILTER-10743" TargetMode="External" Id="rId94" /><Relationship Type="http://schemas.openxmlformats.org/officeDocument/2006/relationships/hyperlink" Target="https://securly.atlassian.net/browse/FILTER-11351" TargetMode="External" Id="rId95" /><Relationship Type="http://schemas.openxmlformats.org/officeDocument/2006/relationships/hyperlink" Target="https://securly.atlassian.net/browse/FILTER-11384" TargetMode="External" Id="rId96" /><Relationship Type="http://schemas.openxmlformats.org/officeDocument/2006/relationships/hyperlink" Target="https://securly.atlassian.net/browse/FILTER-11466" TargetMode="External" Id="rId97" /><Relationship Type="http://schemas.openxmlformats.org/officeDocument/2006/relationships/hyperlink" Target="https://securly.atlassian.net/browse/FILTER-11591" TargetMode="External" Id="rId98" /><Relationship Type="http://schemas.openxmlformats.org/officeDocument/2006/relationships/hyperlink" Target="https://securly.atlassian.net/browse/FILTER-11593" TargetMode="External" Id="rId99" /><Relationship Type="http://schemas.openxmlformats.org/officeDocument/2006/relationships/hyperlink" Target="https://securly.atlassian.net/browse/FILTER-11714" TargetMode="External" Id="rId100" /><Relationship Type="http://schemas.openxmlformats.org/officeDocument/2006/relationships/hyperlink" Target="https://securly.atlassian.net/browse/FILTER-11721" TargetMode="External" Id="rId101" /><Relationship Type="http://schemas.openxmlformats.org/officeDocument/2006/relationships/hyperlink" Target="https://securly.atlassian.net/browse/FILTER-10880" TargetMode="External" Id="rId102" /><Relationship Type="http://schemas.openxmlformats.org/officeDocument/2006/relationships/hyperlink" Target="https://securly.atlassian.net/browse/FILTER-10886" TargetMode="External" Id="rId103" /><Relationship Type="http://schemas.openxmlformats.org/officeDocument/2006/relationships/hyperlink" Target="https://securly.atlassian.net/browse/FILTER-10889" TargetMode="External" Id="rId104" /><Relationship Type="http://schemas.openxmlformats.org/officeDocument/2006/relationships/hyperlink" Target="https://securly.atlassian.net/browse/FILTER-10895" TargetMode="External" Id="rId105" /><Relationship Type="http://schemas.openxmlformats.org/officeDocument/2006/relationships/hyperlink" Target="https://securly.atlassian.net/browse/FILTER-10898" TargetMode="External" Id="rId106" /><Relationship Type="http://schemas.openxmlformats.org/officeDocument/2006/relationships/hyperlink" Target="https://securly.atlassian.net/browse/FILTER-11508" TargetMode="External" Id="rId107" /><Relationship Type="http://schemas.openxmlformats.org/officeDocument/2006/relationships/hyperlink" Target="https://securly.atlassian.net/browse/FILTER-11728" TargetMode="External" Id="rId108" /><Relationship Type="http://schemas.openxmlformats.org/officeDocument/2006/relationships/hyperlink" Target="https://securly.atlassian.net/browse/FILTER-11729" TargetMode="External" Id="rId109" /><Relationship Type="http://schemas.openxmlformats.org/officeDocument/2006/relationships/hyperlink" Target="https://securly.atlassian.net/browse/FILTER-11746" TargetMode="External" Id="rId110" /><Relationship Type="http://schemas.openxmlformats.org/officeDocument/2006/relationships/hyperlink" Target="https://securly.atlassian.net/browse/FILTER-11573" TargetMode="External" Id="rId111" /><Relationship Type="http://schemas.openxmlformats.org/officeDocument/2006/relationships/hyperlink" Target="https://securly.atlassian.net/browse/FILTER-11592" TargetMode="External" Id="rId112" /><Relationship Type="http://schemas.openxmlformats.org/officeDocument/2006/relationships/hyperlink" Target="https://securly.atlassian.net/browse/FILTER-11716" TargetMode="External" Id="rId113" /><Relationship Type="http://schemas.openxmlformats.org/officeDocument/2006/relationships/hyperlink" Target="https://securly.atlassian.net/browse/FILTER-11719" TargetMode="External" Id="rId114" /><Relationship Type="http://schemas.openxmlformats.org/officeDocument/2006/relationships/hyperlink" Target="https://securly.atlassian.net/browse/FILTER-10879" TargetMode="External" Id="rId115" /><Relationship Type="http://schemas.openxmlformats.org/officeDocument/2006/relationships/hyperlink" Target="https://securly.atlassian.net/browse/FILTER-10885" TargetMode="External" Id="rId116" /><Relationship Type="http://schemas.openxmlformats.org/officeDocument/2006/relationships/hyperlink" Target="https://securly.atlassian.net/browse/FILTER-10888" TargetMode="External" Id="rId117" /><Relationship Type="http://schemas.openxmlformats.org/officeDocument/2006/relationships/hyperlink" Target="https://securly.atlassian.net/browse/FILTER-10891" TargetMode="External" Id="rId118" /><Relationship Type="http://schemas.openxmlformats.org/officeDocument/2006/relationships/hyperlink" Target="https://securly.atlassian.net/browse/FILTER-10894" TargetMode="External" Id="rId119" /><Relationship Type="http://schemas.openxmlformats.org/officeDocument/2006/relationships/hyperlink" Target="https://securly.atlassian.net/browse/FILTER-10897" TargetMode="External" Id="rId120" /><Relationship Type="http://schemas.openxmlformats.org/officeDocument/2006/relationships/hyperlink" Target="https://securly.atlassian.net/browse/FILTER-11088" TargetMode="External" Id="rId121" /><Relationship Type="http://schemas.openxmlformats.org/officeDocument/2006/relationships/hyperlink" Target="https://securly.atlassian.net/browse/FILTER-11091" TargetMode="External" Id="rId122" /><Relationship Type="http://schemas.openxmlformats.org/officeDocument/2006/relationships/hyperlink" Target="https://securly.atlassian.net/browse/FILTER-11099" TargetMode="External" Id="rId123" /><Relationship Type="http://schemas.openxmlformats.org/officeDocument/2006/relationships/hyperlink" Target="https://securly.atlassian.net/browse/FILTER-11102" TargetMode="External" Id="rId124" /><Relationship Type="http://schemas.openxmlformats.org/officeDocument/2006/relationships/hyperlink" Target="https://securly.atlassian.net/browse/FILTER-11105" TargetMode="External" Id="rId125" /><Relationship Type="http://schemas.openxmlformats.org/officeDocument/2006/relationships/hyperlink" Target="https://securly.atlassian.net/browse/FILTER-11108" TargetMode="External" Id="rId126" /><Relationship Type="http://schemas.openxmlformats.org/officeDocument/2006/relationships/hyperlink" Target="https://securly.atlassian.net/browse/FILTER-11111" TargetMode="External" Id="rId127" /><Relationship Type="http://schemas.openxmlformats.org/officeDocument/2006/relationships/hyperlink" Target="https://securly.atlassian.net/browse/FILTER-11526" TargetMode="External" Id="rId128" /><Relationship Type="http://schemas.openxmlformats.org/officeDocument/2006/relationships/hyperlink" Target="https://securly.atlassian.net/browse/FILTER-11540" TargetMode="External" Id="rId129" /><Relationship Type="http://schemas.openxmlformats.org/officeDocument/2006/relationships/hyperlink" Target="https://securly.atlassian.net/browse/FILTER-11708" TargetMode="External" Id="rId130" /><Relationship Type="http://schemas.openxmlformats.org/officeDocument/2006/relationships/hyperlink" Target="https://securly.atlassian.net/browse/FILTER-11784" TargetMode="External" Id="rId131" /><Relationship Type="http://schemas.openxmlformats.org/officeDocument/2006/relationships/hyperlink" Target="https://securly.atlassian.net/browse/FDSE-148" TargetMode="External" Id="rId132" /><Relationship Type="http://schemas.openxmlformats.org/officeDocument/2006/relationships/hyperlink" Target="https://securly.atlassian.net/browse/FILTER-11754" TargetMode="External" Id="rId133" /><Relationship Type="http://schemas.openxmlformats.org/officeDocument/2006/relationships/hyperlink" Target="https://securly.atlassian.net/browse/FILTER-11379" TargetMode="External" Id="rId134" /><Relationship Type="http://schemas.openxmlformats.org/officeDocument/2006/relationships/hyperlink" Target="https://securly.atlassian.net/browse/FILTER-11393" TargetMode="External" Id="rId135" /><Relationship Type="http://schemas.openxmlformats.org/officeDocument/2006/relationships/hyperlink" Target="https://securly.atlassian.net/browse/FILTER-11585" TargetMode="External" Id="rId136" /><Relationship Type="http://schemas.openxmlformats.org/officeDocument/2006/relationships/hyperlink" Target="https://securly.atlassian.net/browse/FILTER-11664" TargetMode="External" Id="rId137" /><Relationship Type="http://schemas.openxmlformats.org/officeDocument/2006/relationships/hyperlink" Target="https://securly.atlassian.net/browse/FILTER-11704" TargetMode="External" Id="rId138" /><Relationship Type="http://schemas.openxmlformats.org/officeDocument/2006/relationships/hyperlink" Target="https://securly.atlassian.net/browse/FILTER-11710" TargetMode="External" Id="rId139" /><Relationship Type="http://schemas.openxmlformats.org/officeDocument/2006/relationships/hyperlink" Target="https://securly.atlassian.net/browse/FILTER-11755" TargetMode="External" Id="rId140" /><Relationship Type="http://schemas.openxmlformats.org/officeDocument/2006/relationships/hyperlink" Target="https://securly.atlassian.net/browse/FDSE-137" TargetMode="External" Id="rId141" /><Relationship Type="http://schemas.openxmlformats.org/officeDocument/2006/relationships/hyperlink" Target="https://securly.atlassian.net/browse/FILTER-10491" TargetMode="External" Id="rId142" /><Relationship Type="http://schemas.openxmlformats.org/officeDocument/2006/relationships/hyperlink" Target="https://securly.atlassian.net/browse/FILTER-11507" TargetMode="External" Id="rId143" /><Relationship Type="http://schemas.openxmlformats.org/officeDocument/2006/relationships/hyperlink" Target="https://securly.atlassian.net/browse/FILTER-11640" TargetMode="External" Id="rId144" /><Relationship Type="http://schemas.openxmlformats.org/officeDocument/2006/relationships/hyperlink" Target="https://securly.atlassian.net/browse/FILTER-11758" TargetMode="External" Id="rId145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1311" TargetMode="External" Id="rId1" /><Relationship Type="http://schemas.openxmlformats.org/officeDocument/2006/relationships/hyperlink" Target="https://securly.atlassian.net/browse/FILTER-11327" TargetMode="External" Id="rId2" /><Relationship Type="http://schemas.openxmlformats.org/officeDocument/2006/relationships/hyperlink" Target="https://securly.atlassian.net/browse/FILTER-11406" TargetMode="External" Id="rId3" /><Relationship Type="http://schemas.openxmlformats.org/officeDocument/2006/relationships/hyperlink" Target="https://securly.atlassian.net/browse/FILTER-11063" TargetMode="External" Id="rId4" /><Relationship Type="http://schemas.openxmlformats.org/officeDocument/2006/relationships/hyperlink" Target="https://securly.atlassian.net/browse/FILTER-11427" TargetMode="External" Id="rId5" /><Relationship Type="http://schemas.openxmlformats.org/officeDocument/2006/relationships/hyperlink" Target="https://securly.atlassian.net/browse/FILTER-11303" TargetMode="External" Id="rId6" /><Relationship Type="http://schemas.openxmlformats.org/officeDocument/2006/relationships/hyperlink" Target="https://securly.atlassian.net/browse/FILTER-11310" TargetMode="External" Id="rId7" /><Relationship Type="http://schemas.openxmlformats.org/officeDocument/2006/relationships/hyperlink" Target="https://securly.atlassian.net/browse/FILTER-11404" TargetMode="External" Id="rId8" /><Relationship Type="http://schemas.openxmlformats.org/officeDocument/2006/relationships/hyperlink" Target="https://securly.atlassian.net/browse/FILTER-11064" TargetMode="External" Id="rId9" /><Relationship Type="http://schemas.openxmlformats.org/officeDocument/2006/relationships/hyperlink" Target="https://securly.atlassian.net/browse/FILTER-11301" TargetMode="External" Id="rId10" /><Relationship Type="http://schemas.openxmlformats.org/officeDocument/2006/relationships/hyperlink" Target="https://securly.atlassian.net/browse/FILTER-11372" TargetMode="External" Id="rId11" /><Relationship Type="http://schemas.openxmlformats.org/officeDocument/2006/relationships/hyperlink" Target="https://securly.atlassian.net/browse/FILTER-11405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11697" TargetMode="External" Id="rId1" /><Relationship Type="http://schemas.openxmlformats.org/officeDocument/2006/relationships/hyperlink" Target="https://securly.atlassian.net/browse/FDSE-145" TargetMode="External" Id="rId2" /><Relationship Type="http://schemas.openxmlformats.org/officeDocument/2006/relationships/hyperlink" Target="https://securly.atlassian.net/browse/FILTER-11713" TargetMode="External" Id="rId3" /><Relationship Type="http://schemas.openxmlformats.org/officeDocument/2006/relationships/hyperlink" Target="https://securly.atlassian.net/browse/FILTER-9299" TargetMode="External" Id="rId4" /><Relationship Type="http://schemas.openxmlformats.org/officeDocument/2006/relationships/hyperlink" Target="https://securly.atlassian.net/browse/FDSE-142" TargetMode="External" Id="rId5" /><Relationship Type="http://schemas.openxmlformats.org/officeDocument/2006/relationships/hyperlink" Target="https://securly.atlassian.net/browse/FILTER-10900" TargetMode="External" Id="rId6" /><Relationship Type="http://schemas.openxmlformats.org/officeDocument/2006/relationships/hyperlink" Target="https://securly.atlassian.net/browse/FILTER-11711" TargetMode="External" Id="rId7" /><Relationship Type="http://schemas.openxmlformats.org/officeDocument/2006/relationships/hyperlink" Target="https://securly.atlassian.net/browse/FILTER-9275" TargetMode="External" Id="rId8" /><Relationship Type="http://schemas.openxmlformats.org/officeDocument/2006/relationships/hyperlink" Target="https://securly.atlassian.net/browse/FILTER-11581" TargetMode="External" Id="rId9" /><Relationship Type="http://schemas.openxmlformats.org/officeDocument/2006/relationships/hyperlink" Target="https://securly.atlassian.net/browse/FDSE-112" TargetMode="External" Id="rId10" /><Relationship Type="http://schemas.openxmlformats.org/officeDocument/2006/relationships/hyperlink" Target="https://securly.atlassian.net/browse/FDSE-123" TargetMode="External" Id="rId11" /><Relationship Type="http://schemas.openxmlformats.org/officeDocument/2006/relationships/hyperlink" Target="https://securly.atlassian.net/browse/FDSE-126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1610" TargetMode="External" Id="rId1" /><Relationship Type="http://schemas.openxmlformats.org/officeDocument/2006/relationships/hyperlink" Target="https://securly.atlassian.net/browse/FILTER-10237" TargetMode="External" Id="rId2" /><Relationship Type="http://schemas.openxmlformats.org/officeDocument/2006/relationships/hyperlink" Target="https://securly.atlassian.net/browse/FILTER-7871" TargetMode="External" Id="rId3" /><Relationship Type="http://schemas.openxmlformats.org/officeDocument/2006/relationships/hyperlink" Target="https://securly.atlassian.net/browse/FILTER-8535" TargetMode="External" Id="rId4" /><Relationship Type="http://schemas.openxmlformats.org/officeDocument/2006/relationships/hyperlink" Target="https://securly.atlassian.net/browse/FILTER-10034" TargetMode="External" Id="rId5" /><Relationship Type="http://schemas.openxmlformats.org/officeDocument/2006/relationships/hyperlink" Target="https://securly.atlassian.net/browse/FILTER-10392" TargetMode="External" Id="rId6" /><Relationship Type="http://schemas.openxmlformats.org/officeDocument/2006/relationships/hyperlink" Target="https://securly.atlassian.net/browse/FILTER-11047" TargetMode="External" Id="rId7" /><Relationship Type="http://schemas.openxmlformats.org/officeDocument/2006/relationships/hyperlink" Target="https://securly.atlassian.net/browse/FILTER-11443" TargetMode="External" Id="rId8" /><Relationship Type="http://schemas.openxmlformats.org/officeDocument/2006/relationships/hyperlink" Target="https://securly.atlassian.net/browse/FILTER-11557" TargetMode="External" Id="rId9" /><Relationship Type="http://schemas.openxmlformats.org/officeDocument/2006/relationships/hyperlink" Target="https://securly.atlassian.net/browse/FILTER-11644" TargetMode="External" Id="rId10" /><Relationship Type="http://schemas.openxmlformats.org/officeDocument/2006/relationships/hyperlink" Target="https://securly.atlassian.net/browse/FILTER-11654" TargetMode="External" Id="rId11" /><Relationship Type="http://schemas.openxmlformats.org/officeDocument/2006/relationships/hyperlink" Target="https://securly.atlassian.net/browse/FILTER-11680" TargetMode="External" Id="rId12" /><Relationship Type="http://schemas.openxmlformats.org/officeDocument/2006/relationships/hyperlink" Target="https://securly.atlassian.net/browse/FILTER-11777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sprint-Bertha (Tue 20 Jan → Mon 02 Feb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s="5" t="inlineStr">
        <is>
          <t>Amol Mithari</t>
        </is>
      </c>
      <c r="B20" s="5" t="inlineStr">
        <is>
          <t>Auto QA Lead</t>
        </is>
      </c>
      <c r="C20" s="5" t="inlineStr">
        <is>
          <t>Team Lead — Auto QA / SDET</t>
        </is>
      </c>
      <c r="D20" s="6" t="n">
        <v>0</v>
      </c>
      <c r="E20" s="5" t="inlineStr">
        <is>
          <t>Lead</t>
        </is>
      </c>
      <c r="F20" s="5" t="inlineStr">
        <is>
          <t>FTE</t>
        </is>
      </c>
      <c r="G20" s="5" t="inlineStr">
        <is>
          <t>Joined team on 20-Feb-2026 — not part of this sprint</t>
        </is>
      </c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t="inlineStr">
        <is>
          <t>Rachit Mishra</t>
        </is>
      </c>
      <c r="B22" t="inlineStr">
        <is>
          <t>Auto QA</t>
        </is>
      </c>
      <c r="C22" t="inlineStr">
        <is>
          <t>SDET</t>
        </is>
      </c>
      <c r="D22" s="4" t="n">
        <v>1</v>
      </c>
      <c r="E22" t="inlineStr">
        <is>
          <t>Junior</t>
        </is>
      </c>
      <c r="F22" t="inlineStr">
        <is>
          <t>FTE</t>
        </is>
      </c>
      <c r="G22" t="inlineStr"/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sprint-Bertha = 2026-01-20 → 2026-02-02.</t>
        </is>
      </c>
    </row>
    <row r="28">
      <c r="A28" t="inlineStr">
        <is>
          <t>Company holidays in sprint</t>
        </is>
      </c>
      <c r="B28" s="7" t="n">
        <v>1</v>
      </c>
      <c r="C28" t="inlineStr">
        <is>
          <t>India calendar 2026 — 26-Jan: Republic Day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11 · FILTER: 273 · PTGM: 21</t>
        </is>
      </c>
    </row>
    <row r="38">
      <c r="A38" s="2" t="inlineStr">
        <is>
          <t>Capacity vs Actual Delivery — sprint-Bertha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P0</t>
        </is>
      </c>
      <c r="B50" s="8" t="n">
        <v>3</v>
      </c>
      <c r="C50" s="8" t="n">
        <v>7</v>
      </c>
      <c r="D50" s="11" t="n">
        <v>26.5</v>
      </c>
      <c r="E50" s="12">
        <f>IFERROR(D50/1043.8400000000001,"")</f>
        <v/>
      </c>
      <c r="F50" s="12">
        <f>IFERROR(B50/53,"")</f>
        <v/>
      </c>
      <c r="G50" t="inlineStr">
        <is>
          <t>Critical / production halting</t>
        </is>
      </c>
    </row>
    <row r="51">
      <c r="A51" t="inlineStr">
        <is>
          <t>P1</t>
        </is>
      </c>
      <c r="B51" s="8" t="n">
        <v>13</v>
      </c>
      <c r="C51" s="8" t="n">
        <v>25</v>
      </c>
      <c r="D51" s="11" t="n">
        <v>146.02</v>
      </c>
      <c r="E51" s="12">
        <f>IFERROR(D51/1043.8400000000001,"")</f>
        <v/>
      </c>
      <c r="F51" s="12">
        <f>IFERROR(B51/53,"")</f>
        <v/>
      </c>
      <c r="G51" s="14" t="inlineStr">
        <is>
          <t>P1 — high priority (see P1 Escalation tab for escalations)</t>
        </is>
      </c>
    </row>
    <row r="52">
      <c r="A52" t="inlineStr">
        <is>
          <t>P2</t>
        </is>
      </c>
      <c r="B52" s="8" t="n">
        <v>6</v>
      </c>
      <c r="C52" s="8" t="n">
        <v>13</v>
      </c>
      <c r="D52" s="11" t="n">
        <v>91</v>
      </c>
      <c r="E52" s="12">
        <f>IFERROR(D52/1043.8400000000001,"")</f>
        <v/>
      </c>
      <c r="F52" s="12">
        <f>IFERROR(B52/53,"")</f>
        <v/>
      </c>
      <c r="G52" t="inlineStr">
        <is>
          <t>Major</t>
        </is>
      </c>
    </row>
    <row r="53">
      <c r="A53" t="inlineStr">
        <is>
          <t>P3</t>
        </is>
      </c>
      <c r="B53" s="8" t="n">
        <v>31</v>
      </c>
      <c r="C53" s="8" t="n">
        <v>100</v>
      </c>
      <c r="D53" s="11" t="n">
        <v>780.3200000000001</v>
      </c>
      <c r="E53" s="12">
        <f>IFERROR(D53/1043.8400000000001,"")</f>
        <v/>
      </c>
      <c r="F53" s="12">
        <f>IFERROR(B53/53,"")</f>
        <v/>
      </c>
      <c r="G53" t="inlineStr">
        <is>
          <t>Standard</t>
        </is>
      </c>
    </row>
    <row r="54">
      <c r="A54" s="2" t="inlineStr">
        <is>
          <t>TOTAL</t>
        </is>
      </c>
      <c r="B54" s="8" t="n">
        <v>53</v>
      </c>
      <c r="C54" s="8" t="n">
        <v>145</v>
      </c>
      <c r="D54" s="11" t="n">
        <v>1043.84</v>
      </c>
      <c r="E54" s="12" t="n">
        <v>1</v>
      </c>
      <c r="F54" s="12" t="n">
        <v>1</v>
      </c>
      <c r="G54" t="inlineStr">
        <is>
          <t>Sum of Completed bucket (core roster)</t>
        </is>
      </c>
    </row>
    <row r="56">
      <c r="A56" s="2" t="inlineStr">
        <is>
          <t>Sprint Completion (spillover = Not Completed)</t>
        </is>
      </c>
    </row>
    <row r="57">
      <c r="A57" s="3" t="inlineStr">
        <is>
          <t>Metric</t>
        </is>
      </c>
      <c r="B57" s="3" t="inlineStr">
        <is>
          <t>Tickets</t>
        </is>
      </c>
      <c r="C57" s="3" t="inlineStr">
        <is>
          <t>Planned Hrs (OE)</t>
        </is>
      </c>
      <c r="D57" s="3" t="inlineStr">
        <is>
          <t>% by Tickets</t>
        </is>
      </c>
      <c r="E57" s="3" t="inlineStr">
        <is>
          <t>% by Hrs</t>
        </is>
      </c>
      <c r="F57" s="3" t="inlineStr">
        <is>
          <t>Notes</t>
        </is>
      </c>
    </row>
    <row r="58">
      <c r="A58" t="inlineStr">
        <is>
          <t>Completed (closed in sprint)</t>
        </is>
      </c>
      <c r="B58" s="8" t="n">
        <v>145</v>
      </c>
      <c r="C58" s="11" t="n">
        <v>1034.5</v>
      </c>
      <c r="D58" s="12">
        <f>IFERROR(145/157,"")</f>
        <v/>
      </c>
      <c r="E58" s="12">
        <f>IFERROR(1034.5/1035.0,"")</f>
        <v/>
      </c>
      <c r="F58" t="inlineStr">
        <is>
          <t>In-sprint deliverables</t>
        </is>
      </c>
    </row>
    <row r="59">
      <c r="A59" t="inlineStr">
        <is>
          <t>Spillover (not completed → carry-over)</t>
        </is>
      </c>
      <c r="B59" s="8" t="n">
        <v>12</v>
      </c>
      <c r="C59" s="11" t="n">
        <v>0.5</v>
      </c>
      <c r="D59" s="12">
        <f>IFERROR(12/157,"")</f>
        <v/>
      </c>
      <c r="E59" s="12">
        <f>IFERROR(0.5/1035.0,"")</f>
        <v/>
      </c>
      <c r="F59" t="inlineStr">
        <is>
          <t>Original estimate carried to next sprint</t>
        </is>
      </c>
    </row>
    <row r="60">
      <c r="A60" t="inlineStr">
        <is>
          <t>Removed (mid-sprint scope cut)</t>
        </is>
      </c>
      <c r="B60" s="8" t="n">
        <v>12</v>
      </c>
      <c r="C60" s="11" t="n">
        <v>136</v>
      </c>
      <c r="D60" t="inlineStr">
        <is>
          <t>—</t>
        </is>
      </c>
      <c r="E60" t="inlineStr">
        <is>
          <t>—</t>
        </is>
      </c>
      <c r="F60" t="inlineStr">
        <is>
          <t>Excluded from completion ratio (out of scope)</t>
        </is>
      </c>
    </row>
    <row r="61">
      <c r="A61" t="inlineStr">
        <is>
          <t>Mid-sprint additions (core)</t>
        </is>
      </c>
      <c r="B61" s="8" t="n">
        <v>14</v>
      </c>
      <c r="D61" t="inlineStr">
        <is>
          <t>—</t>
        </is>
      </c>
      <c r="E61" t="inlineStr">
        <is>
          <t>—</t>
        </is>
      </c>
      <c r="F61" t="inlineStr">
        <is>
          <t>Late-arriving work (Jira issueKeysAddedDuringSprint)</t>
        </is>
      </c>
    </row>
    <row r="63">
      <c r="A63" s="2" t="inlineStr">
        <is>
          <t>Sprint completion rate (tickets)</t>
        </is>
      </c>
      <c r="B63" s="12" t="n">
        <v>0.9235668789808917</v>
      </c>
      <c r="C63" s="15" t="inlineStr">
        <is>
          <t>On Target</t>
        </is>
      </c>
      <c r="D63" s="16" t="inlineStr">
        <is>
          <t>Completed ÷ (Completed + Spillover)</t>
        </is>
      </c>
    </row>
    <row r="64">
      <c r="A64" s="2" t="inlineStr">
        <is>
          <t>Sprint completion rate (planned hrs)</t>
        </is>
      </c>
      <c r="B64" s="12" t="n">
        <v>0.9995169082125603</v>
      </c>
      <c r="C64" s="15" t="inlineStr">
        <is>
          <t>On Target</t>
        </is>
      </c>
      <c r="D64" s="16" t="inlineStr">
        <is>
          <t>Σ OE Completed ÷ Σ OE (Completed + Spillover)</t>
        </is>
      </c>
    </row>
    <row r="65">
      <c r="A65" s="2" t="inlineStr">
        <is>
          <t>Planned completion rate (tickets, excludes mid-sprint adds)</t>
        </is>
      </c>
      <c r="B65" s="12" t="n">
        <v>0.9172413793103448</v>
      </c>
      <c r="C65" s="15" t="inlineStr">
        <is>
          <t>On Target</t>
        </is>
      </c>
      <c r="D65" s="16" t="inlineStr">
        <is>
          <t>Originally-committed tickets only</t>
        </is>
      </c>
    </row>
    <row r="66">
      <c r="A66" s="2" t="inlineStr">
        <is>
          <t>Planned completion rate (planned hrs, excludes mid-sprint adds)</t>
        </is>
      </c>
      <c r="B66" s="12" t="n">
        <v>0.9994444444444445</v>
      </c>
      <c r="C66" s="15" t="inlineStr">
        <is>
          <t>On Target</t>
        </is>
      </c>
      <c r="D66" s="16" t="inlineStr">
        <is>
          <t>Originally-committed planned hours only</t>
        </is>
      </c>
    </row>
    <row r="68">
      <c r="A68" s="17" t="inlineStr">
        <is>
          <t>P1 Escalation snapshot</t>
        </is>
      </c>
    </row>
    <row r="69">
      <c r="A69" s="14" t="inlineStr">
        <is>
          <t>13 ticket(s) in sprint-Bertha match 'P1 Escalation' in the title — 12 closed, 1 still open. See the 'P1 Escalation' tab.</t>
        </is>
      </c>
    </row>
    <row r="71">
      <c r="A71" s="18" t="inlineStr">
        <is>
          <t>Mid-sprint additions snapshot</t>
        </is>
      </c>
    </row>
    <row r="72" ht="36" customHeight="1">
      <c r="A72" s="19" t="inlineStr">
        <is>
          <t>14 ticket(s) were added to sprint-Bertha after it started (issueKeysAddedDuringSprint) — Completed 12, Spillover 0, Removed 2. Highlighted in amber on every detail sheet (Added Mid-Sprint = YES).</t>
        </is>
      </c>
    </row>
    <row r="74">
      <c r="A74" s="2" t="inlineStr">
        <is>
          <t>Assumptions &amp; caveats</t>
        </is>
      </c>
    </row>
    <row r="75" ht="32" customHeight="1">
      <c r="A75" s="20" t="inlineStr">
        <is>
          <t>• Sprint window from Jira (/rest/agile/1.0/sprint/4667): 2026-01-20 → 2026-02-02 (10 Mon–Fri working days). Refresh with fetch_filter_sprint_meta.py + fetch_filter_sprint_issues.py.</t>
        </is>
      </c>
    </row>
    <row r="76" ht="32" customHeight="1">
      <c r="A76" s="20" t="inlineStr">
        <is>
          <t>• Issues pulled from FILTER + PTGM + FDSE (project-scope expanded for the India scrum team's split across the three products).</t>
        </is>
      </c>
    </row>
    <row r="77" ht="32" customHeight="1">
      <c r="A77" s="20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8" ht="32" customHeight="1">
      <c r="A78" s="20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79" ht="32" customHeight="1">
      <c r="A79" s="20" t="inlineStr">
        <is>
          <t>• Net Available = Available − 20% Misc Buffer for meetings, scrums, code review, etc. Completed/Not Completed/Removed % of capacity use Net Available as the denominator.</t>
        </is>
      </c>
    </row>
    <row r="80" ht="32" customHeight="1">
      <c r="A80" s="20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1" ht="32" customHeight="1">
      <c r="A81" s="20" t="inlineStr">
        <is>
          <t>• Not Completed and Removed totals use Original Estimate.</t>
        </is>
      </c>
    </row>
    <row r="82" ht="32" customHeight="1">
      <c r="A82" s="20" t="inlineStr">
        <is>
          <t>• Removed list comes from the Sprint Report puntedIssues (greenhopper API).</t>
        </is>
      </c>
    </row>
    <row r="83" ht="32" customHeight="1">
      <c r="A83" s="20" t="inlineStr">
        <is>
          <t>• Core roster only: assignees outside Securly-PjM-Skills.md Part 2 are dropped from per-person + detail sheets.</t>
        </is>
      </c>
    </row>
    <row r="84" ht="32" customHeight="1">
      <c r="A84" s="20" t="inlineStr">
        <is>
          <t>• P1 Escalation tab is filtered to Issue Type = Escape Defect AND Priority = P1 AND title contains 'P1 Escalation'.</t>
        </is>
      </c>
    </row>
    <row r="85" ht="32" customHeight="1">
      <c r="A85" s="20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6" ht="32" customHeight="1">
      <c r="A86" s="20" t="inlineStr">
        <is>
          <t>• Spillover = Not Completed bucket (tickets carried into the next sprint).</t>
        </is>
      </c>
    </row>
    <row r="87" ht="32" customHeight="1">
      <c r="A87" s="20" t="inlineStr">
        <is>
          <t>• Sprint completion rate uses Completed ÷ (Completed + Spillover); Removed tickets are excluded (treated as scope cut). 'Planned' rate also excludes mid-sprint additions.</t>
        </is>
      </c>
    </row>
    <row r="88" ht="32" customHeight="1">
      <c r="A88" s="20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89" ht="32" customHeight="1">
      <c r="A89" s="20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72:G72"/>
    <mergeCell ref="A81:G81"/>
    <mergeCell ref="A68:G68"/>
    <mergeCell ref="A77:G77"/>
    <mergeCell ref="A83:G83"/>
    <mergeCell ref="A48:G48"/>
    <mergeCell ref="D63:G63"/>
    <mergeCell ref="A82:G82"/>
    <mergeCell ref="A1:G1"/>
    <mergeCell ref="D65:G65"/>
    <mergeCell ref="A88:G88"/>
    <mergeCell ref="A79:G79"/>
    <mergeCell ref="A69:G69"/>
    <mergeCell ref="A87:G87"/>
    <mergeCell ref="A78:G78"/>
    <mergeCell ref="A25:G25"/>
    <mergeCell ref="A75:G75"/>
    <mergeCell ref="A84:G84"/>
    <mergeCell ref="A85:G85"/>
    <mergeCell ref="A89:G89"/>
    <mergeCell ref="A80:G80"/>
    <mergeCell ref="A56:G56"/>
    <mergeCell ref="D66:G66"/>
    <mergeCell ref="A2:G2"/>
    <mergeCell ref="A86:G86"/>
    <mergeCell ref="A76:G76"/>
    <mergeCell ref="A71:G7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1" t="inlineStr">
        <is>
          <t>Assignee</t>
        </is>
      </c>
      <c r="B1" s="21" t="inlineStr">
        <is>
          <t>Completed (hrs)</t>
        </is>
      </c>
      <c r="C1" s="21" t="inlineStr">
        <is>
          <t>Not Completed (hrs)</t>
        </is>
      </c>
      <c r="D1" s="21" t="inlineStr">
        <is>
          <t>Removed (hrs)</t>
        </is>
      </c>
      <c r="E1" s="21" t="inlineStr">
        <is>
          <t>Efficiency</t>
        </is>
      </c>
      <c r="F1" s="21" t="inlineStr">
        <is>
          <t>Available (hrs)</t>
        </is>
      </c>
      <c r="G1" s="21" t="inlineStr">
        <is>
          <t>Leave Days (sprint)</t>
        </is>
      </c>
      <c r="H1" s="21" t="inlineStr">
        <is>
          <t>Misc Buffer 20% (hrs)</t>
        </is>
      </c>
      <c r="I1" s="21" t="inlineStr">
        <is>
          <t>Net Available (hrs)</t>
        </is>
      </c>
    </row>
    <row r="2">
      <c r="A2" t="inlineStr">
        <is>
          <t>Harsh Verma</t>
        </is>
      </c>
      <c r="B2" s="11" t="n">
        <v>62</v>
      </c>
      <c r="C2" s="11" t="n">
        <v>0</v>
      </c>
      <c r="D2" s="11" t="n">
        <v>32</v>
      </c>
      <c r="E2" s="12">
        <f>IFERROR(B2/I2,"")</f>
        <v/>
      </c>
      <c r="F2" s="11" t="n">
        <v>43.2</v>
      </c>
      <c r="G2" s="8" t="n">
        <v>3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14.5</v>
      </c>
      <c r="C3" s="11" t="n">
        <v>0.5</v>
      </c>
      <c r="D3" s="11" t="n">
        <v>0</v>
      </c>
      <c r="E3" s="12">
        <f>IFERROR(B3/I3,"")</f>
        <v/>
      </c>
      <c r="F3" s="11" t="n">
        <v>36</v>
      </c>
      <c r="G3" s="8" t="n">
        <v>4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55.5</v>
      </c>
      <c r="C4" s="11" t="n">
        <v>0</v>
      </c>
      <c r="D4" s="11" t="n">
        <v>8</v>
      </c>
      <c r="E4" s="12">
        <f>IFERROR(B4/I4,"")</f>
        <v/>
      </c>
      <c r="F4" s="11" t="n">
        <v>64.8</v>
      </c>
      <c r="G4" s="8" t="n">
        <v>0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38</v>
      </c>
      <c r="C5" s="11" t="n">
        <v>0</v>
      </c>
      <c r="D5" s="11" t="n">
        <v>44</v>
      </c>
      <c r="E5" s="12">
        <f>IFERROR(B5/I5,"")</f>
        <v/>
      </c>
      <c r="F5" s="11" t="n">
        <v>64.8</v>
      </c>
      <c r="G5" s="8" t="n">
        <v>0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48</v>
      </c>
      <c r="C6" s="11" t="n">
        <v>0</v>
      </c>
      <c r="D6" s="11" t="n">
        <v>12</v>
      </c>
      <c r="E6" s="12">
        <f>IFERROR(B6/I6,"")</f>
        <v/>
      </c>
      <c r="F6" s="11" t="n">
        <v>64.8</v>
      </c>
      <c r="G6" s="8" t="n">
        <v>0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42</v>
      </c>
      <c r="C7" s="11" t="n">
        <v>0</v>
      </c>
      <c r="D7" s="11" t="n">
        <v>0</v>
      </c>
      <c r="E7" s="12">
        <f>IFERROR(B7/I7,"")</f>
        <v/>
      </c>
      <c r="F7" s="11" t="n">
        <v>64.8</v>
      </c>
      <c r="G7" s="8" t="n">
        <v>0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105.5</v>
      </c>
      <c r="C8" s="11" t="n">
        <v>0</v>
      </c>
      <c r="D8" s="11" t="n">
        <v>0</v>
      </c>
      <c r="E8" s="12">
        <f>IFERROR(B8/I8,"")</f>
        <v/>
      </c>
      <c r="F8" s="11" t="n">
        <v>64.8</v>
      </c>
      <c r="G8" s="8" t="n">
        <v>0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197</v>
      </c>
      <c r="C9" s="11" t="n">
        <v>0</v>
      </c>
      <c r="D9" s="11" t="n">
        <v>0</v>
      </c>
      <c r="E9" s="12">
        <f>IFERROR(B9/I9,"")</f>
        <v/>
      </c>
      <c r="F9" s="11" t="n">
        <v>64.8</v>
      </c>
      <c r="G9" s="8" t="n">
        <v>0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24</v>
      </c>
      <c r="C10" s="11" t="n">
        <v>0</v>
      </c>
      <c r="D10" s="11" t="n">
        <v>0</v>
      </c>
      <c r="E10" s="12">
        <f>IFERROR(B10/I10,"")</f>
        <v/>
      </c>
      <c r="F10" s="11" t="n">
        <v>64.8</v>
      </c>
      <c r="G10" s="8" t="n">
        <v>0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62</v>
      </c>
      <c r="C11" s="11" t="n">
        <v>0</v>
      </c>
      <c r="D11" s="11" t="n">
        <v>16</v>
      </c>
      <c r="E11" s="12">
        <f>IFERROR(B11/I11,"")</f>
        <v/>
      </c>
      <c r="F11" s="11" t="n">
        <v>64.8</v>
      </c>
      <c r="G11" s="8" t="n">
        <v>0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88</v>
      </c>
      <c r="C12" s="11" t="n">
        <v>0</v>
      </c>
      <c r="D12" s="11" t="n">
        <v>12</v>
      </c>
      <c r="E12" s="12">
        <f>IFERROR(B12/I12,"")</f>
        <v/>
      </c>
      <c r="F12" s="11" t="n">
        <v>64.8</v>
      </c>
      <c r="G12" s="8" t="n">
        <v>0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72</v>
      </c>
      <c r="C13" s="11" t="n">
        <v>0</v>
      </c>
      <c r="D13" s="11" t="n">
        <v>12</v>
      </c>
      <c r="E13" s="12">
        <f>IFERROR(B13/I13,"")</f>
        <v/>
      </c>
      <c r="F13" s="11" t="n">
        <v>64.8</v>
      </c>
      <c r="G13" s="8" t="n">
        <v>0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88.34</v>
      </c>
      <c r="C14" s="11" t="n">
        <v>0</v>
      </c>
      <c r="D14" s="11" t="n">
        <v>0</v>
      </c>
      <c r="E14" s="12">
        <f>IFERROR(B14/I14,"")</f>
        <v/>
      </c>
      <c r="F14" s="11" t="n">
        <v>43.2</v>
      </c>
      <c r="G14" s="8" t="n">
        <v>3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21.5</v>
      </c>
      <c r="C15" s="11" t="n">
        <v>0</v>
      </c>
      <c r="D15" s="11" t="n">
        <v>0</v>
      </c>
      <c r="E15" s="12">
        <f>IFERROR(B15/I15,"")</f>
        <v/>
      </c>
      <c r="F15" s="11" t="n">
        <v>64.8</v>
      </c>
      <c r="G15" s="8" t="n">
        <v>0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40</v>
      </c>
      <c r="C16" s="11" t="n">
        <v>0</v>
      </c>
      <c r="D16" s="11" t="n">
        <v>0</v>
      </c>
      <c r="E16" s="12">
        <f>IFERROR(B16/I16,"")</f>
        <v/>
      </c>
      <c r="F16" s="11" t="n">
        <v>57.6</v>
      </c>
      <c r="G16" s="8" t="n">
        <v>1</v>
      </c>
      <c r="H16" s="11">
        <f>F16*0.2</f>
        <v/>
      </c>
      <c r="I16" s="11">
        <f>F16-H16</f>
        <v/>
      </c>
    </row>
    <row r="17">
      <c r="A17" t="inlineStr">
        <is>
          <t>Amit Shete</t>
        </is>
      </c>
      <c r="B17" s="11" t="n">
        <v>37.5</v>
      </c>
      <c r="C17" s="11" t="n">
        <v>0</v>
      </c>
      <c r="D17" s="11" t="n">
        <v>0</v>
      </c>
      <c r="E17" s="12">
        <f>IFERROR(B17/I17,"")</f>
        <v/>
      </c>
      <c r="F17" s="11" t="n">
        <v>50.4</v>
      </c>
      <c r="G17" s="8" t="n">
        <v>2</v>
      </c>
      <c r="H17" s="11">
        <f>F17*0.2</f>
        <v/>
      </c>
      <c r="I17" s="11">
        <f>F17-H17</f>
        <v/>
      </c>
    </row>
    <row r="18">
      <c r="A18" t="inlineStr">
        <is>
          <t>Rachit Mishra</t>
        </is>
      </c>
      <c r="B18" s="11" t="n">
        <v>48</v>
      </c>
      <c r="C18" s="11" t="n">
        <v>0</v>
      </c>
      <c r="D18" s="11" t="n">
        <v>0</v>
      </c>
      <c r="E18" s="12">
        <f>IFERROR(B18/I18,"")</f>
        <v/>
      </c>
      <c r="F18" s="11" t="n">
        <v>64.8</v>
      </c>
      <c r="G18" s="8" t="n">
        <v>0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Debug</t>
        </is>
      </c>
      <c r="B2" s="23" t="inlineStr">
        <is>
          <t>FILTER-11747</t>
        </is>
      </c>
      <c r="C2" s="24" t="inlineStr">
        <is>
          <t>Image Blur – NSFW Model Switch (InceptionV3 → MobileNetV2)</t>
        </is>
      </c>
      <c r="D2" s="22" t="inlineStr"/>
      <c r="E2" s="22" t="inlineStr"/>
      <c r="F2" s="22" t="inlineStr">
        <is>
          <t>Arun Thakur</t>
        </is>
      </c>
      <c r="G2" s="22" t="inlineStr">
        <is>
          <t>Closed</t>
        </is>
      </c>
      <c r="H2" s="22" t="inlineStr">
        <is>
          <t>Fixed</t>
        </is>
      </c>
      <c r="I2" s="22" t="inlineStr">
        <is>
          <t>P3</t>
        </is>
      </c>
      <c r="J2" s="25" t="n">
        <v>46043</v>
      </c>
      <c r="K2" s="25" t="n">
        <v>46044</v>
      </c>
      <c r="L2" s="25" t="n">
        <v>46062</v>
      </c>
      <c r="M2" s="22" t="inlineStr">
        <is>
          <t>sprint-Bertha</t>
        </is>
      </c>
      <c r="N2" s="26" t="n">
        <v>8</v>
      </c>
      <c r="O2" s="26" t="n">
        <v>8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FILTER-11787</t>
        </is>
      </c>
      <c r="C3" s="24" t="inlineStr">
        <is>
          <t>Remove school.pepikutan.net - rammerhead from vector expansion config.json</t>
        </is>
      </c>
      <c r="D3" s="22" t="inlineStr"/>
      <c r="E3" s="22" t="inlineStr"/>
      <c r="F3" s="22" t="inlineStr">
        <is>
          <t>Arun Thakur</t>
        </is>
      </c>
      <c r="G3" s="22" t="inlineStr">
        <is>
          <t>Closed</t>
        </is>
      </c>
      <c r="H3" s="22" t="inlineStr"/>
      <c r="I3" s="22" t="inlineStr">
        <is>
          <t>P3</t>
        </is>
      </c>
      <c r="J3" s="25" t="n">
        <v>46045</v>
      </c>
      <c r="K3" s="22" t="n"/>
      <c r="L3" s="25" t="n">
        <v>46128</v>
      </c>
      <c r="M3" s="22" t="inlineStr">
        <is>
          <t>sprint-Bertha</t>
        </is>
      </c>
      <c r="N3" s="26" t="n">
        <v>3</v>
      </c>
      <c r="O3" s="26" t="n">
        <v>3</v>
      </c>
      <c r="P3" s="22" t="inlineStr">
        <is>
          <t>FILTER</t>
        </is>
      </c>
      <c r="Q3" s="22" t="inlineStr">
        <is>
          <t>unplanned-sprint</t>
        </is>
      </c>
      <c r="R3" s="22" t="inlineStr"/>
      <c r="S3" s="27" t="inlineStr">
        <is>
          <t>YES</t>
        </is>
      </c>
    </row>
    <row r="4">
      <c r="A4" s="22" t="inlineStr">
        <is>
          <t>Escape Defect</t>
        </is>
      </c>
      <c r="B4" s="23" t="inlineStr">
        <is>
          <t>FILTER-7871</t>
        </is>
      </c>
      <c r="C4" s="24" t="inlineStr">
        <is>
          <t>P1 Escalation-Shortcut SmartPAC bypass; --user-agent | Seattleschools</t>
        </is>
      </c>
      <c r="D4" s="22" t="inlineStr"/>
      <c r="E4" s="22" t="inlineStr"/>
      <c r="F4" s="22" t="inlineStr">
        <is>
          <t>Ashish Temurnikar</t>
        </is>
      </c>
      <c r="G4" s="22" t="inlineStr">
        <is>
          <t>Closed</t>
        </is>
      </c>
      <c r="H4" s="22" t="inlineStr">
        <is>
          <t>Expected behavior</t>
        </is>
      </c>
      <c r="I4" s="22" t="inlineStr">
        <is>
          <t>P1</t>
        </is>
      </c>
      <c r="J4" s="25" t="n">
        <v>45758</v>
      </c>
      <c r="K4" s="25" t="n">
        <v>46041</v>
      </c>
      <c r="L4" s="25" t="n">
        <v>46062</v>
      </c>
      <c r="M4" s="22" t="inlineStr">
        <is>
          <t>sprint-Bertha</t>
        </is>
      </c>
      <c r="N4" s="26" t="n">
        <v>0</v>
      </c>
      <c r="O4" s="26" t="n">
        <v>0</v>
      </c>
      <c r="P4" s="22" t="inlineStr">
        <is>
          <t>FILTER</t>
        </is>
      </c>
      <c r="Q4" s="22" t="inlineStr">
        <is>
          <t>Reverified-2026, jira_added, jira_backlog, jira_closed_notify, jira_escalated, jira_in_progress, jira_open, jira_reopened, p1escalation, unplanned-sprint</t>
        </is>
      </c>
      <c r="R4" s="22" t="inlineStr"/>
      <c r="S4" s="27" t="inlineStr">
        <is>
          <t>YES</t>
        </is>
      </c>
    </row>
    <row r="5">
      <c r="A5" s="22" t="inlineStr">
        <is>
          <t>Escape Defect</t>
        </is>
      </c>
      <c r="B5" s="23" t="inlineStr">
        <is>
          <t>FILTER-11743</t>
        </is>
      </c>
      <c r="C5" s="24" t="inlineStr">
        <is>
          <t>Restrict AI power mode in search engines setting is currently a configurable setting in policies</t>
        </is>
      </c>
      <c r="D5" s="22" t="inlineStr"/>
      <c r="E5" s="22" t="inlineStr"/>
      <c r="F5" s="22" t="inlineStr">
        <is>
          <t>Ayesha Kamde</t>
        </is>
      </c>
      <c r="G5" s="22" t="inlineStr">
        <is>
          <t>Done</t>
        </is>
      </c>
      <c r="H5" s="22" t="inlineStr">
        <is>
          <t>Done</t>
        </is>
      </c>
      <c r="I5" s="22" t="inlineStr">
        <is>
          <t>P3</t>
        </is>
      </c>
      <c r="J5" s="25" t="n">
        <v>46042</v>
      </c>
      <c r="K5" s="25" t="n">
        <v>46055</v>
      </c>
      <c r="L5" s="25" t="n">
        <v>46127</v>
      </c>
      <c r="M5" s="22" t="inlineStr">
        <is>
          <t>sprint-Bertha</t>
        </is>
      </c>
      <c r="N5" s="26" t="n">
        <v>6</v>
      </c>
      <c r="O5" s="26" t="n">
        <v>0</v>
      </c>
      <c r="P5" s="22" t="inlineStr">
        <is>
          <t>FILTER</t>
        </is>
      </c>
      <c r="Q5" s="22" t="inlineStr">
        <is>
          <t>jira_added, jira_closed_notify, jira_done, jira_escalated, jira_p3, jira_qa_verified, unplanned-sprint</t>
        </is>
      </c>
      <c r="R5" s="22" t="inlineStr"/>
      <c r="S5" s="27" t="inlineStr">
        <is>
          <t>YES</t>
        </is>
      </c>
    </row>
    <row r="6">
      <c r="A6" s="22" t="inlineStr">
        <is>
          <t>Task</t>
        </is>
      </c>
      <c r="B6" s="23" t="inlineStr">
        <is>
          <t>FILTER-11695</t>
        </is>
      </c>
      <c r="C6" s="24" t="inlineStr">
        <is>
          <t>Helping classroom team for PR review and Technical discussions</t>
        </is>
      </c>
      <c r="D6" s="22" t="inlineStr"/>
      <c r="E6" s="22" t="inlineStr"/>
      <c r="F6" s="22" t="inlineStr">
        <is>
          <t>Harsh Verma</t>
        </is>
      </c>
      <c r="G6" s="22" t="inlineStr">
        <is>
          <t>Closed</t>
        </is>
      </c>
      <c r="H6" s="22" t="inlineStr"/>
      <c r="I6" s="22" t="inlineStr">
        <is>
          <t>P3</t>
        </is>
      </c>
      <c r="J6" s="25" t="n">
        <v>46041</v>
      </c>
      <c r="K6" s="22" t="n"/>
      <c r="L6" s="25" t="n">
        <v>46129</v>
      </c>
      <c r="M6" s="22" t="inlineStr">
        <is>
          <t>sprint-Bertha</t>
        </is>
      </c>
      <c r="N6" s="26" t="n">
        <v>4</v>
      </c>
      <c r="O6" s="26" t="n">
        <v>4</v>
      </c>
      <c r="P6" s="22" t="inlineStr">
        <is>
          <t>FILTER</t>
        </is>
      </c>
      <c r="Q6" s="22" t="inlineStr">
        <is>
          <t>unplanned-sprint</t>
        </is>
      </c>
      <c r="R6" s="22" t="inlineStr"/>
      <c r="S6" s="27" t="inlineStr">
        <is>
          <t>YES</t>
        </is>
      </c>
    </row>
    <row r="7">
      <c r="A7" s="22" t="inlineStr">
        <is>
          <t>Task</t>
        </is>
      </c>
      <c r="B7" s="23" t="inlineStr">
        <is>
          <t>FILTER-11696</t>
        </is>
      </c>
      <c r="C7" s="24" t="inlineStr">
        <is>
          <t>Helping Home Team for the overall architecture of Parent Portal design Revamp and and AI Chat for their dashobard requirement</t>
        </is>
      </c>
      <c r="D7" s="22" t="inlineStr"/>
      <c r="E7" s="22" t="inlineStr"/>
      <c r="F7" s="22" t="inlineStr">
        <is>
          <t>Harsh Verma</t>
        </is>
      </c>
      <c r="G7" s="22" t="inlineStr">
        <is>
          <t>Closed</t>
        </is>
      </c>
      <c r="H7" s="22" t="inlineStr"/>
      <c r="I7" s="22" t="inlineStr">
        <is>
          <t>P3</t>
        </is>
      </c>
      <c r="J7" s="25" t="n">
        <v>46041</v>
      </c>
      <c r="K7" s="22" t="n"/>
      <c r="L7" s="25" t="n">
        <v>46129</v>
      </c>
      <c r="M7" s="22" t="inlineStr">
        <is>
          <t>sprint-Bertha</t>
        </is>
      </c>
      <c r="N7" s="26" t="n">
        <v>24</v>
      </c>
      <c r="O7" s="26" t="n">
        <v>24</v>
      </c>
      <c r="P7" s="22" t="inlineStr">
        <is>
          <t>FILTER</t>
        </is>
      </c>
      <c r="Q7" s="22" t="inlineStr">
        <is>
          <t>unplanned-sprint</t>
        </is>
      </c>
      <c r="R7" s="22" t="inlineStr"/>
      <c r="S7" s="27" t="inlineStr">
        <is>
          <t>YES</t>
        </is>
      </c>
    </row>
    <row r="8">
      <c r="A8" s="22" t="inlineStr">
        <is>
          <t>Task</t>
        </is>
      </c>
      <c r="B8" s="23" t="inlineStr">
        <is>
          <t>FILTER-11698</t>
        </is>
      </c>
      <c r="C8" s="24" t="inlineStr">
        <is>
          <t xml:space="preserve">Do a POC on CMS and its consumption in different products </t>
        </is>
      </c>
      <c r="D8" s="22" t="inlineStr"/>
      <c r="E8" s="22" t="inlineStr"/>
      <c r="F8" s="22" t="inlineStr">
        <is>
          <t>Harsh Verma</t>
        </is>
      </c>
      <c r="G8" s="22" t="inlineStr">
        <is>
          <t>Closed</t>
        </is>
      </c>
      <c r="H8" s="22" t="inlineStr"/>
      <c r="I8" s="22" t="inlineStr">
        <is>
          <t>P3</t>
        </is>
      </c>
      <c r="J8" s="25" t="n">
        <v>46041</v>
      </c>
      <c r="K8" s="22" t="n"/>
      <c r="L8" s="25" t="n">
        <v>46129</v>
      </c>
      <c r="M8" s="22" t="inlineStr">
        <is>
          <t>sprint-Bertha</t>
        </is>
      </c>
      <c r="N8" s="26" t="n">
        <v>28</v>
      </c>
      <c r="O8" s="26" t="n">
        <v>40</v>
      </c>
      <c r="P8" s="22" t="inlineStr">
        <is>
          <t>FILTER</t>
        </is>
      </c>
      <c r="Q8" s="22" t="inlineStr"/>
      <c r="R8" s="22" t="inlineStr"/>
      <c r="S8" s="27" t="inlineStr">
        <is>
          <t>YES</t>
        </is>
      </c>
    </row>
    <row r="9">
      <c r="A9" s="22" t="inlineStr">
        <is>
          <t>Task</t>
        </is>
      </c>
      <c r="B9" s="23" t="inlineStr">
        <is>
          <t>FILTER-11770</t>
        </is>
      </c>
      <c r="C9" s="24" t="inlineStr">
        <is>
          <t xml:space="preserve">Fix GitHub Action build issue </t>
        </is>
      </c>
      <c r="D9" s="22" t="inlineStr"/>
      <c r="E9" s="22" t="inlineStr"/>
      <c r="F9" s="22" t="inlineStr">
        <is>
          <t>Harsh Verma</t>
        </is>
      </c>
      <c r="G9" s="22" t="inlineStr">
        <is>
          <t>Closed</t>
        </is>
      </c>
      <c r="H9" s="22" t="inlineStr">
        <is>
          <t>Done</t>
        </is>
      </c>
      <c r="I9" s="22" t="inlineStr">
        <is>
          <t>P3</t>
        </is>
      </c>
      <c r="J9" s="25" t="n">
        <v>46044</v>
      </c>
      <c r="K9" s="25" t="n">
        <v>46050</v>
      </c>
      <c r="L9" s="25" t="n">
        <v>46129</v>
      </c>
      <c r="M9" s="22" t="inlineStr">
        <is>
          <t>sprint-Bertha</t>
        </is>
      </c>
      <c r="N9" s="26" t="n">
        <v>6</v>
      </c>
      <c r="O9" s="26" t="n">
        <v>8</v>
      </c>
      <c r="P9" s="22" t="inlineStr">
        <is>
          <t>FILTER</t>
        </is>
      </c>
      <c r="Q9" s="22" t="inlineStr">
        <is>
          <t>unplanned-sprint</t>
        </is>
      </c>
      <c r="R9" s="22" t="inlineStr"/>
      <c r="S9" s="27" t="inlineStr">
        <is>
          <t>YES</t>
        </is>
      </c>
    </row>
    <row r="10">
      <c r="A10" s="22" t="inlineStr">
        <is>
          <t>Task</t>
        </is>
      </c>
      <c r="B10" s="23" t="inlineStr">
        <is>
          <t>FDSE-141</t>
        </is>
      </c>
      <c r="C10" s="24" t="inlineStr">
        <is>
          <t>Cosume Label component</t>
        </is>
      </c>
      <c r="D10" s="22" t="inlineStr">
        <is>
          <t>FDSE-146</t>
        </is>
      </c>
      <c r="E10" s="22" t="inlineStr">
        <is>
          <t>Epic</t>
        </is>
      </c>
      <c r="F10" s="22" t="inlineStr">
        <is>
          <t>Harshada Kude</t>
        </is>
      </c>
      <c r="G10" s="22" t="inlineStr">
        <is>
          <t>Resolved</t>
        </is>
      </c>
      <c r="H10" s="22" t="inlineStr">
        <is>
          <t>Fixed</t>
        </is>
      </c>
      <c r="I10" s="22" t="inlineStr">
        <is>
          <t>P3</t>
        </is>
      </c>
      <c r="J10" s="25" t="n">
        <v>46013</v>
      </c>
      <c r="K10" s="25" t="n">
        <v>46044</v>
      </c>
      <c r="L10" s="25" t="n">
        <v>46045</v>
      </c>
      <c r="M10" s="22" t="inlineStr">
        <is>
          <t>sprint-Bertha</t>
        </is>
      </c>
      <c r="N10" s="26" t="n">
        <v>5.5</v>
      </c>
      <c r="O10" s="26" t="n">
        <v>8</v>
      </c>
      <c r="P10" s="22" t="inlineStr">
        <is>
          <t>FDSE</t>
        </is>
      </c>
      <c r="Q10" s="22" t="inlineStr">
        <is>
          <t>product-filter</t>
        </is>
      </c>
      <c r="R10" s="22" t="inlineStr"/>
      <c r="S10" s="27" t="inlineStr">
        <is>
          <t>YES</t>
        </is>
      </c>
    </row>
    <row r="11">
      <c r="A11" s="22" t="inlineStr">
        <is>
          <t>Task</t>
        </is>
      </c>
      <c r="B11" s="23" t="inlineStr">
        <is>
          <t>FILTER-11590</t>
        </is>
      </c>
      <c r="C11" s="24" t="inlineStr">
        <is>
          <t>[sprox] unwrap handling in main.rs - main.rs modularisation part 3</t>
        </is>
      </c>
      <c r="D11" s="22" t="inlineStr">
        <is>
          <t>FILTER-8230</t>
        </is>
      </c>
      <c r="E11" s="22" t="inlineStr">
        <is>
          <t>Epic</t>
        </is>
      </c>
      <c r="F11" s="22" t="inlineStr">
        <is>
          <t>Pratik Tiwari</t>
        </is>
      </c>
      <c r="G11" s="22" t="inlineStr">
        <is>
          <t>Closed</t>
        </is>
      </c>
      <c r="H11" s="22" t="inlineStr"/>
      <c r="I11" s="22" t="inlineStr">
        <is>
          <t>P2</t>
        </is>
      </c>
      <c r="J11" s="25" t="n">
        <v>46027</v>
      </c>
      <c r="K11" s="22" t="n"/>
      <c r="L11" s="25" t="n">
        <v>46128</v>
      </c>
      <c r="M11" s="22" t="inlineStr">
        <is>
          <t>sprint-Bertha</t>
        </is>
      </c>
      <c r="N11" s="26" t="n">
        <v>8</v>
      </c>
      <c r="O11" s="26" t="n">
        <v>8</v>
      </c>
      <c r="P11" s="22" t="inlineStr">
        <is>
          <t>FILTER</t>
        </is>
      </c>
      <c r="Q11" s="22" t="inlineStr"/>
      <c r="R11" s="22" t="inlineStr"/>
      <c r="S11" s="27" t="inlineStr">
        <is>
          <t>YES</t>
        </is>
      </c>
    </row>
    <row r="12">
      <c r="A12" s="22" t="inlineStr">
        <is>
          <t>Escape Defect</t>
        </is>
      </c>
      <c r="B12" s="23" t="inlineStr">
        <is>
          <t>FILTER-8535</t>
        </is>
      </c>
      <c r="C12" s="24" t="inlineStr">
        <is>
          <t>P1 Escalation-Google search drag and drop bypass</t>
        </is>
      </c>
      <c r="D12" s="22" t="inlineStr"/>
      <c r="E12" s="22" t="inlineStr"/>
      <c r="F12" s="22" t="inlineStr">
        <is>
          <t>Pratik Tiwari</t>
        </is>
      </c>
      <c r="G12" s="22" t="inlineStr">
        <is>
          <t>Closed</t>
        </is>
      </c>
      <c r="H12" s="22" t="inlineStr">
        <is>
          <t>Cannot Reproduce</t>
        </is>
      </c>
      <c r="I12" s="22" t="inlineStr">
        <is>
          <t>P1</t>
        </is>
      </c>
      <c r="J12" s="25" t="n">
        <v>45807</v>
      </c>
      <c r="K12" s="25" t="n">
        <v>46079</v>
      </c>
      <c r="L12" s="25" t="n">
        <v>46079</v>
      </c>
      <c r="M12" s="22" t="inlineStr">
        <is>
          <t>sprint-Bertha</t>
        </is>
      </c>
      <c r="N12" s="26" t="n">
        <v>24</v>
      </c>
      <c r="O12" s="26" t="n">
        <v>8</v>
      </c>
      <c r="P12" s="22" t="inlineStr">
        <is>
          <t>FILTER</t>
        </is>
      </c>
      <c r="Q12" s="22" t="inlineStr">
        <is>
          <t>Reverified-2025, jira_added, jira_backlog, jira_escalated, jira_qa_verified, p1escalation, unplanned-sprint</t>
        </is>
      </c>
      <c r="R12" s="22" t="inlineStr"/>
      <c r="S12" s="27" t="inlineStr">
        <is>
          <t>YES</t>
        </is>
      </c>
    </row>
    <row r="13">
      <c r="A13" s="22" t="inlineStr">
        <is>
          <t>Task</t>
        </is>
      </c>
      <c r="B13" s="23" t="inlineStr">
        <is>
          <t>FDSE-147</t>
        </is>
      </c>
      <c r="C13" s="24" t="inlineStr">
        <is>
          <t>Datepicker Single Date and Date Range - UX enhancements, review comments</t>
        </is>
      </c>
      <c r="D13" s="22" t="inlineStr">
        <is>
          <t>FDSE-102</t>
        </is>
      </c>
      <c r="E13" s="22" t="inlineStr">
        <is>
          <t>Epic</t>
        </is>
      </c>
      <c r="F13" s="22" t="inlineStr">
        <is>
          <t>Swaroop Chavhan</t>
        </is>
      </c>
      <c r="G13" s="22" t="inlineStr">
        <is>
          <t>Resolved</t>
        </is>
      </c>
      <c r="H13" s="22" t="inlineStr">
        <is>
          <t>Fixed</t>
        </is>
      </c>
      <c r="I13" s="22" t="inlineStr">
        <is>
          <t>P3</t>
        </is>
      </c>
      <c r="J13" s="25" t="n">
        <v>46041</v>
      </c>
      <c r="K13" s="25" t="n">
        <v>46054</v>
      </c>
      <c r="L13" s="25" t="n">
        <v>46055</v>
      </c>
      <c r="M13" s="22" t="inlineStr">
        <is>
          <t>sprint-Bertha</t>
        </is>
      </c>
      <c r="N13" s="26" t="n">
        <v>32</v>
      </c>
      <c r="O13" s="26" t="n">
        <v>24</v>
      </c>
      <c r="P13" s="22" t="inlineStr">
        <is>
          <t>FDSE</t>
        </is>
      </c>
      <c r="Q13" s="22" t="inlineStr">
        <is>
          <t>product-filter</t>
        </is>
      </c>
      <c r="R13" s="22" t="inlineStr"/>
      <c r="S13" s="27" t="inlineStr">
        <is>
          <t>YES</t>
        </is>
      </c>
    </row>
    <row r="14">
      <c r="A14" t="inlineStr">
        <is>
          <t>QA</t>
        </is>
      </c>
      <c r="B14" s="28" t="inlineStr">
        <is>
          <t>FILTER-10858</t>
        </is>
      </c>
      <c r="C14" s="20" t="inlineStr">
        <is>
          <t>QA - List of custom list (New API)</t>
        </is>
      </c>
      <c r="D14" t="inlineStr">
        <is>
          <t>FILTER-10835</t>
        </is>
      </c>
      <c r="E14" t="inlineStr">
        <is>
          <t>Story</t>
        </is>
      </c>
      <c r="F14" t="inlineStr">
        <is>
          <t>Altamash Heroli</t>
        </is>
      </c>
      <c r="G14" t="inlineStr">
        <is>
          <t>QA Verified</t>
        </is>
      </c>
      <c r="H14" t="inlineStr"/>
      <c r="I14" t="inlineStr">
        <is>
          <t>P3</t>
        </is>
      </c>
      <c r="J14" s="29" t="n">
        <v>45982</v>
      </c>
      <c r="L14" s="29" t="n">
        <v>46035</v>
      </c>
      <c r="M14" t="inlineStr">
        <is>
          <t>sprint-Bertha</t>
        </is>
      </c>
      <c r="N14" s="11" t="n">
        <v>5</v>
      </c>
      <c r="O14" s="11" t="n">
        <v>5</v>
      </c>
      <c r="P14" t="inlineStr">
        <is>
          <t>FILTER</t>
        </is>
      </c>
      <c r="Q14" t="inlineStr">
        <is>
          <t>Capitalized-Feature</t>
        </is>
      </c>
      <c r="R14" t="inlineStr"/>
      <c r="S14" t="inlineStr"/>
    </row>
    <row r="15">
      <c r="A15" t="inlineStr">
        <is>
          <t>QA</t>
        </is>
      </c>
      <c r="B15" s="28" t="inlineStr">
        <is>
          <t>FILTER-10861</t>
        </is>
      </c>
      <c r="C15" s="20" t="inlineStr">
        <is>
          <t>QA - Get Resources of securly custom list (New API)</t>
        </is>
      </c>
      <c r="D15" t="inlineStr">
        <is>
          <t>FILTER-10835</t>
        </is>
      </c>
      <c r="E15" t="inlineStr">
        <is>
          <t>Story</t>
        </is>
      </c>
      <c r="F15" t="inlineStr">
        <is>
          <t>Altamash Heroli</t>
        </is>
      </c>
      <c r="G15" t="inlineStr">
        <is>
          <t>QA Verified</t>
        </is>
      </c>
      <c r="H15" t="inlineStr"/>
      <c r="I15" t="inlineStr">
        <is>
          <t>P3</t>
        </is>
      </c>
      <c r="J15" s="29" t="n">
        <v>45982</v>
      </c>
      <c r="L15" s="29" t="n">
        <v>46031</v>
      </c>
      <c r="M15" t="inlineStr">
        <is>
          <t>sprint-Bertha</t>
        </is>
      </c>
      <c r="N15" s="11" t="n">
        <v>5</v>
      </c>
      <c r="O15" s="11" t="n">
        <v>4</v>
      </c>
      <c r="P15" t="inlineStr">
        <is>
          <t>FILTER</t>
        </is>
      </c>
      <c r="Q15" t="inlineStr">
        <is>
          <t>Capitalized-Feature</t>
        </is>
      </c>
      <c r="R15" t="inlineStr"/>
      <c r="S15" t="inlineStr"/>
    </row>
    <row r="16">
      <c r="A16" t="inlineStr">
        <is>
          <t>QA</t>
        </is>
      </c>
      <c r="B16" s="28" t="inlineStr">
        <is>
          <t>FILTER-10864</t>
        </is>
      </c>
      <c r="C16" s="20" t="inlineStr">
        <is>
          <t>Add/Update custom list (New API)</t>
        </is>
      </c>
      <c r="D16" t="inlineStr">
        <is>
          <t>FILTER-10835</t>
        </is>
      </c>
      <c r="E16" t="inlineStr">
        <is>
          <t>Story</t>
        </is>
      </c>
      <c r="F16" t="inlineStr">
        <is>
          <t>Altamash Heroli</t>
        </is>
      </c>
      <c r="G16" t="inlineStr">
        <is>
          <t>QA Verified</t>
        </is>
      </c>
      <c r="H16" t="inlineStr"/>
      <c r="I16" t="inlineStr">
        <is>
          <t>P3</t>
        </is>
      </c>
      <c r="J16" s="29" t="n">
        <v>45982</v>
      </c>
      <c r="L16" s="29" t="n">
        <v>46031</v>
      </c>
      <c r="M16" t="inlineStr">
        <is>
          <t>sprint-Bertha</t>
        </is>
      </c>
      <c r="N16" s="11" t="n">
        <v>5</v>
      </c>
      <c r="O16" s="11" t="n">
        <v>4</v>
      </c>
      <c r="P16" t="inlineStr">
        <is>
          <t>FILTER</t>
        </is>
      </c>
      <c r="Q16" t="inlineStr">
        <is>
          <t>Capitalized-Feature</t>
        </is>
      </c>
      <c r="R16" t="inlineStr"/>
      <c r="S16" t="inlineStr"/>
    </row>
    <row r="17">
      <c r="A17" t="inlineStr">
        <is>
          <t>QA</t>
        </is>
      </c>
      <c r="B17" s="28" t="inlineStr">
        <is>
          <t>FILTER-10867</t>
        </is>
      </c>
      <c r="C17" s="20" t="inlineStr">
        <is>
          <t>QA - Delete custom list (New API)</t>
        </is>
      </c>
      <c r="D17" t="inlineStr">
        <is>
          <t>FILTER-10835</t>
        </is>
      </c>
      <c r="E17" t="inlineStr">
        <is>
          <t>Story</t>
        </is>
      </c>
      <c r="F17" t="inlineStr">
        <is>
          <t>Altamash Heroli</t>
        </is>
      </c>
      <c r="G17" t="inlineStr">
        <is>
          <t>QA Verified</t>
        </is>
      </c>
      <c r="H17" t="inlineStr"/>
      <c r="I17" t="inlineStr">
        <is>
          <t>P3</t>
        </is>
      </c>
      <c r="J17" s="29" t="n">
        <v>45982</v>
      </c>
      <c r="L17" s="29" t="n">
        <v>46031</v>
      </c>
      <c r="M17" t="inlineStr">
        <is>
          <t>sprint-Bertha</t>
        </is>
      </c>
      <c r="N17" s="11" t="n">
        <v>5</v>
      </c>
      <c r="O17" s="11" t="n">
        <v>10</v>
      </c>
      <c r="P17" t="inlineStr">
        <is>
          <t>FILTER</t>
        </is>
      </c>
      <c r="Q17" t="inlineStr">
        <is>
          <t>Capitalized-Feature</t>
        </is>
      </c>
      <c r="R17" t="inlineStr"/>
      <c r="S17" t="inlineStr"/>
    </row>
    <row r="18">
      <c r="A18" t="inlineStr">
        <is>
          <t>QA</t>
        </is>
      </c>
      <c r="B18" s="28" t="inlineStr">
        <is>
          <t>FILTER-10870</t>
        </is>
      </c>
      <c r="C18" s="20" t="inlineStr">
        <is>
          <t>How to Handle sycing Error</t>
        </is>
      </c>
      <c r="D18" t="inlineStr">
        <is>
          <t>FILTER-10835</t>
        </is>
      </c>
      <c r="E18" t="inlineStr">
        <is>
          <t>Story</t>
        </is>
      </c>
      <c r="F18" t="inlineStr">
        <is>
          <t>Altamash Heroli</t>
        </is>
      </c>
      <c r="G18" t="inlineStr">
        <is>
          <t>QA Verified</t>
        </is>
      </c>
      <c r="H18" t="inlineStr"/>
      <c r="I18" t="inlineStr">
        <is>
          <t>P3</t>
        </is>
      </c>
      <c r="J18" s="29" t="n">
        <v>45982</v>
      </c>
      <c r="L18" s="29" t="n">
        <v>46031</v>
      </c>
      <c r="M18" t="inlineStr">
        <is>
          <t>sprint-Bertha</t>
        </is>
      </c>
      <c r="N18" s="11" t="n">
        <v>5</v>
      </c>
      <c r="O18" s="11" t="n">
        <v>0</v>
      </c>
      <c r="P18" t="inlineStr">
        <is>
          <t>FILTER</t>
        </is>
      </c>
      <c r="Q18" t="inlineStr">
        <is>
          <t>Capitalized-Feature</t>
        </is>
      </c>
      <c r="R18" t="inlineStr"/>
      <c r="S18" t="inlineStr"/>
    </row>
    <row r="19">
      <c r="A19" t="inlineStr">
        <is>
          <t>QA</t>
        </is>
      </c>
      <c r="B19" s="28" t="inlineStr">
        <is>
          <t>FILTER-10874</t>
        </is>
      </c>
      <c r="C19" s="20" t="inlineStr">
        <is>
          <t>Link polices to custom list in case of update</t>
        </is>
      </c>
      <c r="D19" t="inlineStr">
        <is>
          <t>FILTER-10871</t>
        </is>
      </c>
      <c r="E19" t="inlineStr">
        <is>
          <t>Story</t>
        </is>
      </c>
      <c r="F19" t="inlineStr">
        <is>
          <t>Altamash Heroli</t>
        </is>
      </c>
      <c r="G19" t="inlineStr">
        <is>
          <t>QA Verified</t>
        </is>
      </c>
      <c r="H19" t="inlineStr"/>
      <c r="I19" t="inlineStr">
        <is>
          <t>P3</t>
        </is>
      </c>
      <c r="J19" s="29" t="n">
        <v>45982</v>
      </c>
      <c r="L19" s="29" t="n">
        <v>46045</v>
      </c>
      <c r="M19" t="inlineStr">
        <is>
          <t>sprint-Bertha</t>
        </is>
      </c>
      <c r="N19" s="11" t="n">
        <v>3</v>
      </c>
      <c r="O19" s="11" t="n">
        <v>6</v>
      </c>
      <c r="P19" t="inlineStr">
        <is>
          <t>FILTER</t>
        </is>
      </c>
      <c r="Q19" t="inlineStr">
        <is>
          <t>Capitalized-Feature</t>
        </is>
      </c>
      <c r="R19" t="inlineStr"/>
      <c r="S19" t="inlineStr"/>
    </row>
    <row r="20">
      <c r="A20" t="inlineStr">
        <is>
          <t>QA</t>
        </is>
      </c>
      <c r="B20" s="28" t="inlineStr">
        <is>
          <t>FILTER-10877</t>
        </is>
      </c>
      <c r="C20" s="20" t="inlineStr">
        <is>
          <t>New Feature | Unlink polices to custom list in case of update</t>
        </is>
      </c>
      <c r="D20" t="inlineStr">
        <is>
          <t>FILTER-10871</t>
        </is>
      </c>
      <c r="E20" t="inlineStr">
        <is>
          <t>Story</t>
        </is>
      </c>
      <c r="F20" t="inlineStr">
        <is>
          <t>Altamash Heroli</t>
        </is>
      </c>
      <c r="G20" t="inlineStr">
        <is>
          <t>QA Verified</t>
        </is>
      </c>
      <c r="H20" t="inlineStr"/>
      <c r="I20" t="inlineStr">
        <is>
          <t>P3</t>
        </is>
      </c>
      <c r="J20" s="29" t="n">
        <v>45982</v>
      </c>
      <c r="L20" s="29" t="n">
        <v>46045</v>
      </c>
      <c r="M20" t="inlineStr">
        <is>
          <t>sprint-Bertha</t>
        </is>
      </c>
      <c r="N20" s="11" t="n">
        <v>1</v>
      </c>
      <c r="O20" s="11" t="n">
        <v>6</v>
      </c>
      <c r="P20" t="inlineStr">
        <is>
          <t>FILTER</t>
        </is>
      </c>
      <c r="Q20" t="inlineStr">
        <is>
          <t>Capitalized-Feature</t>
        </is>
      </c>
      <c r="R20" t="inlineStr"/>
      <c r="S20" t="inlineStr"/>
    </row>
    <row r="21">
      <c r="A21" t="inlineStr">
        <is>
          <t>QA</t>
        </is>
      </c>
      <c r="B21" s="28" t="inlineStr">
        <is>
          <t>FILTER-10881</t>
        </is>
      </c>
      <c r="C21" s="20" t="inlineStr">
        <is>
          <t>New Feature | Add custom list (New API)</t>
        </is>
      </c>
      <c r="D21" t="inlineStr">
        <is>
          <t>FILTER-10878</t>
        </is>
      </c>
      <c r="E21" t="inlineStr">
        <is>
          <t>Story</t>
        </is>
      </c>
      <c r="F21" t="inlineStr">
        <is>
          <t>Altamash Heroli</t>
        </is>
      </c>
      <c r="G21" t="inlineStr">
        <is>
          <t>QA Verified</t>
        </is>
      </c>
      <c r="H21" t="inlineStr"/>
      <c r="I21" t="inlineStr">
        <is>
          <t>P3</t>
        </is>
      </c>
      <c r="J21" s="29" t="n">
        <v>45982</v>
      </c>
      <c r="L21" s="29" t="n">
        <v>46045</v>
      </c>
      <c r="M21" t="inlineStr">
        <is>
          <t>sprint-Bertha</t>
        </is>
      </c>
      <c r="N21" s="11" t="n">
        <v>8</v>
      </c>
      <c r="O21" s="11" t="n">
        <v>10</v>
      </c>
      <c r="P21" t="inlineStr">
        <is>
          <t>FILTER</t>
        </is>
      </c>
      <c r="Q21" t="inlineStr">
        <is>
          <t>Capitalized-Feature</t>
        </is>
      </c>
      <c r="R21" t="inlineStr"/>
      <c r="S21" t="inlineStr"/>
    </row>
    <row r="22">
      <c r="A22" t="inlineStr">
        <is>
          <t>QA</t>
        </is>
      </c>
      <c r="B22" s="28" t="inlineStr">
        <is>
          <t>FILTER-10884</t>
        </is>
      </c>
      <c r="C22" s="20" t="inlineStr">
        <is>
          <t>New Feature | List of Policies (Might be existing API or New API)</t>
        </is>
      </c>
      <c r="D22" t="inlineStr">
        <is>
          <t>FILTER-10878</t>
        </is>
      </c>
      <c r="E22" t="inlineStr">
        <is>
          <t>Story</t>
        </is>
      </c>
      <c r="F22" t="inlineStr">
        <is>
          <t>Altamash Heroli</t>
        </is>
      </c>
      <c r="G22" t="inlineStr">
        <is>
          <t>QA Verified</t>
        </is>
      </c>
      <c r="H22" t="inlineStr"/>
      <c r="I22" t="inlineStr">
        <is>
          <t>P3</t>
        </is>
      </c>
      <c r="J22" s="29" t="n">
        <v>45982</v>
      </c>
      <c r="L22" s="29" t="n">
        <v>46045</v>
      </c>
      <c r="M22" t="inlineStr">
        <is>
          <t>sprint-Bertha</t>
        </is>
      </c>
      <c r="N22" s="11" t="n">
        <v>1</v>
      </c>
      <c r="O22" s="11" t="n">
        <v>5</v>
      </c>
      <c r="P22" t="inlineStr">
        <is>
          <t>FILTER</t>
        </is>
      </c>
      <c r="Q22" t="inlineStr">
        <is>
          <t>Capitalized-Feature</t>
        </is>
      </c>
      <c r="R22" t="inlineStr"/>
      <c r="S22" t="inlineStr"/>
    </row>
    <row r="23">
      <c r="A23" t="inlineStr">
        <is>
          <t>QA</t>
        </is>
      </c>
      <c r="B23" s="28" t="inlineStr">
        <is>
          <t>FILTER-10887</t>
        </is>
      </c>
      <c r="C23" s="20" t="inlineStr">
        <is>
          <t>New Feature | Get custom list Details (New API)</t>
        </is>
      </c>
      <c r="D23" t="inlineStr">
        <is>
          <t>FILTER-10878</t>
        </is>
      </c>
      <c r="E23" t="inlineStr">
        <is>
          <t>Story</t>
        </is>
      </c>
      <c r="F23" t="inlineStr">
        <is>
          <t>Altamash Heroli</t>
        </is>
      </c>
      <c r="G23" t="inlineStr">
        <is>
          <t>QA Verified</t>
        </is>
      </c>
      <c r="H23" t="inlineStr"/>
      <c r="I23" t="inlineStr">
        <is>
          <t>P3</t>
        </is>
      </c>
      <c r="J23" s="29" t="n">
        <v>45982</v>
      </c>
      <c r="L23" s="29" t="n">
        <v>46045</v>
      </c>
      <c r="M23" t="inlineStr">
        <is>
          <t>sprint-Bertha</t>
        </is>
      </c>
      <c r="N23" s="11" t="n">
        <v>3</v>
      </c>
      <c r="O23" s="11" t="n">
        <v>3</v>
      </c>
      <c r="P23" t="inlineStr">
        <is>
          <t>FILTER</t>
        </is>
      </c>
      <c r="Q23" t="inlineStr">
        <is>
          <t>Capitalized-Feature</t>
        </is>
      </c>
      <c r="R23" t="inlineStr"/>
      <c r="S23" t="inlineStr"/>
    </row>
    <row r="24">
      <c r="A24" t="inlineStr">
        <is>
          <t>QA</t>
        </is>
      </c>
      <c r="B24" s="28" t="inlineStr">
        <is>
          <t>FILTER-10890</t>
        </is>
      </c>
      <c r="C24" s="20" t="inlineStr">
        <is>
          <t>New Feature | Get custom list Resources (New API)</t>
        </is>
      </c>
      <c r="D24" t="inlineStr">
        <is>
          <t>FILTER-10878</t>
        </is>
      </c>
      <c r="E24" t="inlineStr">
        <is>
          <t>Story</t>
        </is>
      </c>
      <c r="F24" t="inlineStr">
        <is>
          <t>Altamash Heroli</t>
        </is>
      </c>
      <c r="G24" t="inlineStr">
        <is>
          <t>QA Verified</t>
        </is>
      </c>
      <c r="H24" t="inlineStr"/>
      <c r="I24" t="inlineStr">
        <is>
          <t>P3</t>
        </is>
      </c>
      <c r="J24" s="29" t="n">
        <v>45982</v>
      </c>
      <c r="L24" s="29" t="n">
        <v>46045</v>
      </c>
      <c r="M24" t="inlineStr">
        <is>
          <t>sprint-Bertha</t>
        </is>
      </c>
      <c r="N24" s="11" t="n">
        <v>4</v>
      </c>
      <c r="O24" s="11" t="n">
        <v>5</v>
      </c>
      <c r="P24" t="inlineStr">
        <is>
          <t>FILTER</t>
        </is>
      </c>
      <c r="Q24" t="inlineStr">
        <is>
          <t>Capitalized-Feature</t>
        </is>
      </c>
      <c r="R24" t="inlineStr"/>
      <c r="S24" t="inlineStr"/>
    </row>
    <row r="25">
      <c r="A25" t="inlineStr">
        <is>
          <t>QA</t>
        </is>
      </c>
      <c r="B25" s="28" t="inlineStr">
        <is>
          <t>FILTER-10893</t>
        </is>
      </c>
      <c r="C25" s="20" t="inlineStr">
        <is>
          <t>New Feature | Get custom list Association (New API)</t>
        </is>
      </c>
      <c r="D25" t="inlineStr">
        <is>
          <t>FILTER-10878</t>
        </is>
      </c>
      <c r="E25" t="inlineStr">
        <is>
          <t>Story</t>
        </is>
      </c>
      <c r="F25" t="inlineStr">
        <is>
          <t>Altamash Heroli</t>
        </is>
      </c>
      <c r="G25" t="inlineStr">
        <is>
          <t>QA Verified</t>
        </is>
      </c>
      <c r="H25" t="inlineStr"/>
      <c r="I25" t="inlineStr">
        <is>
          <t>P3</t>
        </is>
      </c>
      <c r="J25" s="29" t="n">
        <v>45982</v>
      </c>
      <c r="L25" s="29" t="n">
        <v>46045</v>
      </c>
      <c r="M25" t="inlineStr">
        <is>
          <t>sprint-Bertha</t>
        </is>
      </c>
      <c r="N25" s="11" t="n">
        <v>3</v>
      </c>
      <c r="O25" s="11" t="n">
        <v>3</v>
      </c>
      <c r="P25" t="inlineStr">
        <is>
          <t>FILTER</t>
        </is>
      </c>
      <c r="Q25" t="inlineStr">
        <is>
          <t>Capitalized-Feature</t>
        </is>
      </c>
      <c r="R25" t="inlineStr"/>
      <c r="S25" t="inlineStr"/>
    </row>
    <row r="26">
      <c r="A26" t="inlineStr">
        <is>
          <t>QA</t>
        </is>
      </c>
      <c r="B26" s="28" t="inlineStr">
        <is>
          <t>FILTER-10896</t>
        </is>
      </c>
      <c r="C26" s="20" t="inlineStr">
        <is>
          <t>New Feature | Update Custom List (New API)</t>
        </is>
      </c>
      <c r="D26" t="inlineStr">
        <is>
          <t>FILTER-10878</t>
        </is>
      </c>
      <c r="E26" t="inlineStr">
        <is>
          <t>Story</t>
        </is>
      </c>
      <c r="F26" t="inlineStr">
        <is>
          <t>Altamash Heroli</t>
        </is>
      </c>
      <c r="G26" t="inlineStr">
        <is>
          <t>QA Verified</t>
        </is>
      </c>
      <c r="H26" t="inlineStr"/>
      <c r="I26" t="inlineStr">
        <is>
          <t>P3</t>
        </is>
      </c>
      <c r="J26" s="29" t="n">
        <v>45982</v>
      </c>
      <c r="L26" s="29" t="n">
        <v>46045</v>
      </c>
      <c r="M26" t="inlineStr">
        <is>
          <t>sprint-Bertha</t>
        </is>
      </c>
      <c r="N26" s="11" t="n">
        <v>6</v>
      </c>
      <c r="O26" s="11" t="n">
        <v>10</v>
      </c>
      <c r="P26" t="inlineStr">
        <is>
          <t>FILTER</t>
        </is>
      </c>
      <c r="Q26" t="inlineStr">
        <is>
          <t>Capitalized-Feature</t>
        </is>
      </c>
      <c r="R26" t="inlineStr"/>
      <c r="S26" t="inlineStr"/>
    </row>
    <row r="27">
      <c r="A27" t="inlineStr">
        <is>
          <t>QA</t>
        </is>
      </c>
      <c r="B27" s="28" t="inlineStr">
        <is>
          <t>FILTER-10899</t>
        </is>
      </c>
      <c r="C27" s="20" t="inlineStr">
        <is>
          <t>New Feature | Delete Custom List (New API)</t>
        </is>
      </c>
      <c r="D27" t="inlineStr">
        <is>
          <t>FILTER-10878</t>
        </is>
      </c>
      <c r="E27" t="inlineStr">
        <is>
          <t>Story</t>
        </is>
      </c>
      <c r="F27" t="inlineStr">
        <is>
          <t>Altamash Heroli</t>
        </is>
      </c>
      <c r="G27" t="inlineStr">
        <is>
          <t>QA Verified</t>
        </is>
      </c>
      <c r="H27" t="inlineStr"/>
      <c r="I27" t="inlineStr">
        <is>
          <t>P3</t>
        </is>
      </c>
      <c r="J27" s="29" t="n">
        <v>45982</v>
      </c>
      <c r="L27" s="29" t="n">
        <v>46045</v>
      </c>
      <c r="M27" t="inlineStr">
        <is>
          <t>sprint-Bertha</t>
        </is>
      </c>
      <c r="N27" s="11" t="n">
        <v>6</v>
      </c>
      <c r="O27" s="11" t="n">
        <v>10</v>
      </c>
      <c r="P27" t="inlineStr">
        <is>
          <t>FILTER</t>
        </is>
      </c>
      <c r="Q27" t="inlineStr">
        <is>
          <t>Capitalized-Feature</t>
        </is>
      </c>
      <c r="R27" t="inlineStr"/>
      <c r="S27" t="inlineStr"/>
    </row>
    <row r="28">
      <c r="A28" t="inlineStr">
        <is>
          <t>QA</t>
        </is>
      </c>
      <c r="B28" s="28" t="inlineStr">
        <is>
          <t>FILTER-11077</t>
        </is>
      </c>
      <c r="C28" s="20" t="inlineStr">
        <is>
          <t>New Feature | Add resource in custom list (New API)</t>
        </is>
      </c>
      <c r="D28" t="inlineStr">
        <is>
          <t>FILTER-11074</t>
        </is>
      </c>
      <c r="E28" t="inlineStr">
        <is>
          <t>Story</t>
        </is>
      </c>
      <c r="F28" t="inlineStr">
        <is>
          <t>Altamash Heroli</t>
        </is>
      </c>
      <c r="G28" t="inlineStr">
        <is>
          <t>QA Verified</t>
        </is>
      </c>
      <c r="H28" t="inlineStr"/>
      <c r="I28" t="inlineStr">
        <is>
          <t>P3</t>
        </is>
      </c>
      <c r="J28" s="29" t="n">
        <v>45992</v>
      </c>
      <c r="L28" s="29" t="n">
        <v>46045</v>
      </c>
      <c r="M28" t="inlineStr">
        <is>
          <t>sprint-Bertha</t>
        </is>
      </c>
      <c r="N28" s="11" t="n">
        <v>3</v>
      </c>
      <c r="O28" s="11" t="n">
        <v>5</v>
      </c>
      <c r="P28" t="inlineStr">
        <is>
          <t>FILTER</t>
        </is>
      </c>
      <c r="Q28" t="inlineStr">
        <is>
          <t>Capitalized-Feature</t>
        </is>
      </c>
      <c r="R28" t="inlineStr"/>
      <c r="S28" t="inlineStr"/>
    </row>
    <row r="29">
      <c r="A29" t="inlineStr">
        <is>
          <t>QA</t>
        </is>
      </c>
      <c r="B29" s="28" t="inlineStr">
        <is>
          <t>FILTER-11080</t>
        </is>
      </c>
      <c r="C29" s="20" t="inlineStr">
        <is>
          <t>New Feature | Update resource of custom list (New API)</t>
        </is>
      </c>
      <c r="D29" t="inlineStr">
        <is>
          <t>FILTER-11074</t>
        </is>
      </c>
      <c r="E29" t="inlineStr">
        <is>
          <t>Story</t>
        </is>
      </c>
      <c r="F29" t="inlineStr">
        <is>
          <t>Altamash Heroli</t>
        </is>
      </c>
      <c r="G29" t="inlineStr">
        <is>
          <t>QA Verified</t>
        </is>
      </c>
      <c r="H29" t="inlineStr"/>
      <c r="I29" t="inlineStr">
        <is>
          <t>P3</t>
        </is>
      </c>
      <c r="J29" s="29" t="n">
        <v>45992</v>
      </c>
      <c r="L29" s="29" t="n">
        <v>46045</v>
      </c>
      <c r="M29" t="inlineStr">
        <is>
          <t>sprint-Bertha</t>
        </is>
      </c>
      <c r="N29" s="11" t="n">
        <v>3</v>
      </c>
      <c r="O29" s="11" t="n">
        <v>5</v>
      </c>
      <c r="P29" t="inlineStr">
        <is>
          <t>FILTER</t>
        </is>
      </c>
      <c r="Q29" t="inlineStr">
        <is>
          <t>Capitalized-Feature</t>
        </is>
      </c>
      <c r="R29" t="inlineStr"/>
      <c r="S29" t="inlineStr"/>
    </row>
    <row r="30">
      <c r="A30" t="inlineStr">
        <is>
          <t>QA</t>
        </is>
      </c>
      <c r="B30" s="28" t="inlineStr">
        <is>
          <t>FILTER-11083</t>
        </is>
      </c>
      <c r="C30" s="20" t="inlineStr">
        <is>
          <t>New Feature | Delete resource or resource note from custom list (New API)</t>
        </is>
      </c>
      <c r="D30" t="inlineStr">
        <is>
          <t>FILTER-11074</t>
        </is>
      </c>
      <c r="E30" t="inlineStr">
        <is>
          <t>Story</t>
        </is>
      </c>
      <c r="F30" t="inlineStr">
        <is>
          <t>Altamash Heroli</t>
        </is>
      </c>
      <c r="G30" t="inlineStr">
        <is>
          <t>QA Verified</t>
        </is>
      </c>
      <c r="H30" t="inlineStr"/>
      <c r="I30" t="inlineStr">
        <is>
          <t>P3</t>
        </is>
      </c>
      <c r="J30" s="29" t="n">
        <v>45992</v>
      </c>
      <c r="L30" s="29" t="n">
        <v>46045</v>
      </c>
      <c r="M30" t="inlineStr">
        <is>
          <t>sprint-Bertha</t>
        </is>
      </c>
      <c r="N30" s="11" t="n">
        <v>4</v>
      </c>
      <c r="O30" s="11" t="n">
        <v>6</v>
      </c>
      <c r="P30" t="inlineStr">
        <is>
          <t>FILTER</t>
        </is>
      </c>
      <c r="Q30" t="inlineStr">
        <is>
          <t>Capitalized-Feature</t>
        </is>
      </c>
      <c r="R30" t="inlineStr"/>
      <c r="S30" t="inlineStr"/>
    </row>
    <row r="31">
      <c r="A31" t="inlineStr">
        <is>
          <t>QA</t>
        </is>
      </c>
      <c r="B31" s="28" t="inlineStr">
        <is>
          <t>FILTER-11086</t>
        </is>
      </c>
      <c r="C31" s="20" t="inlineStr">
        <is>
          <t>New Feature | Clone Custom list (New API)</t>
        </is>
      </c>
      <c r="D31" t="inlineStr">
        <is>
          <t>FILTER-11074</t>
        </is>
      </c>
      <c r="E31" t="inlineStr">
        <is>
          <t>Story</t>
        </is>
      </c>
      <c r="F31" t="inlineStr">
        <is>
          <t>Altamash Heroli</t>
        </is>
      </c>
      <c r="G31" t="inlineStr">
        <is>
          <t>QA Verified</t>
        </is>
      </c>
      <c r="H31" t="inlineStr"/>
      <c r="I31" t="inlineStr">
        <is>
          <t>P3</t>
        </is>
      </c>
      <c r="J31" s="29" t="n">
        <v>45992</v>
      </c>
      <c r="L31" s="29" t="n">
        <v>46045</v>
      </c>
      <c r="M31" t="inlineStr">
        <is>
          <t>sprint-Bertha</t>
        </is>
      </c>
      <c r="N31" s="11" t="n">
        <v>3</v>
      </c>
      <c r="O31" s="11" t="n">
        <v>7</v>
      </c>
      <c r="P31" t="inlineStr">
        <is>
          <t>FILTER</t>
        </is>
      </c>
      <c r="Q31" t="inlineStr">
        <is>
          <t>Capitalized-Feature</t>
        </is>
      </c>
      <c r="R31" t="inlineStr"/>
      <c r="S31" t="inlineStr"/>
    </row>
    <row r="32">
      <c r="A32" t="inlineStr">
        <is>
          <t>QA</t>
        </is>
      </c>
      <c r="B32" s="28" t="inlineStr">
        <is>
          <t>FILTER-11090</t>
        </is>
      </c>
      <c r="C32" s="20" t="inlineStr">
        <is>
          <t>New Feature | Local Custom Lists (FID-specific)</t>
        </is>
      </c>
      <c r="D32" t="inlineStr">
        <is>
          <t>FILTER-11087</t>
        </is>
      </c>
      <c r="E32" t="inlineStr">
        <is>
          <t>Story</t>
        </is>
      </c>
      <c r="F32" t="inlineStr">
        <is>
          <t>Altamash Heroli</t>
        </is>
      </c>
      <c r="G32" t="inlineStr">
        <is>
          <t>QA Verified</t>
        </is>
      </c>
      <c r="H32" t="inlineStr"/>
      <c r="I32" t="inlineStr">
        <is>
          <t>P3</t>
        </is>
      </c>
      <c r="J32" s="29" t="n">
        <v>45992</v>
      </c>
      <c r="L32" s="29" t="n">
        <v>46049</v>
      </c>
      <c r="M32" t="inlineStr">
        <is>
          <t>sprint-Bertha</t>
        </is>
      </c>
      <c r="N32" s="11" t="n">
        <v>0.08</v>
      </c>
      <c r="O32" s="11" t="n">
        <v>2</v>
      </c>
      <c r="P32" t="inlineStr">
        <is>
          <t>FILTER</t>
        </is>
      </c>
      <c r="Q32" t="inlineStr">
        <is>
          <t>Capitalized-Feature</t>
        </is>
      </c>
      <c r="R32" t="inlineStr"/>
      <c r="S32" t="inlineStr"/>
    </row>
    <row r="33">
      <c r="A33" t="inlineStr">
        <is>
          <t>QA</t>
        </is>
      </c>
      <c r="B33" s="28" t="inlineStr">
        <is>
          <t>FILTER-11093</t>
        </is>
      </c>
      <c r="C33" s="20" t="inlineStr">
        <is>
          <t>New Feature | Global Custom Lists (Shared Across FIDs)</t>
        </is>
      </c>
      <c r="D33" t="inlineStr">
        <is>
          <t>FILTER-11087</t>
        </is>
      </c>
      <c r="E33" t="inlineStr">
        <is>
          <t>Story</t>
        </is>
      </c>
      <c r="F33" t="inlineStr">
        <is>
          <t>Altamash Heroli</t>
        </is>
      </c>
      <c r="G33" t="inlineStr">
        <is>
          <t>QA Verified</t>
        </is>
      </c>
      <c r="H33" t="inlineStr"/>
      <c r="I33" t="inlineStr">
        <is>
          <t>P3</t>
        </is>
      </c>
      <c r="J33" s="29" t="n">
        <v>45992</v>
      </c>
      <c r="L33" s="29" t="n">
        <v>46049</v>
      </c>
      <c r="M33" t="inlineStr">
        <is>
          <t>sprint-Bertha</t>
        </is>
      </c>
      <c r="N33" s="11" t="n">
        <v>0.08</v>
      </c>
      <c r="O33" s="11" t="n">
        <v>2</v>
      </c>
      <c r="P33" t="inlineStr">
        <is>
          <t>FILTER</t>
        </is>
      </c>
      <c r="Q33" t="inlineStr">
        <is>
          <t>Capitalized-Feature</t>
        </is>
      </c>
      <c r="R33" t="inlineStr"/>
      <c r="S33" t="inlineStr"/>
    </row>
    <row r="34">
      <c r="A34" t="inlineStr">
        <is>
          <t>QA</t>
        </is>
      </c>
      <c r="B34" s="28" t="inlineStr">
        <is>
          <t>FILTER-11101</t>
        </is>
      </c>
      <c r="C34" s="20" t="inlineStr">
        <is>
          <t>New Feature | List of custom list (New API)</t>
        </is>
      </c>
      <c r="D34" t="inlineStr">
        <is>
          <t>FILTER-11098</t>
        </is>
      </c>
      <c r="E34" t="inlineStr">
        <is>
          <t>Story</t>
        </is>
      </c>
      <c r="F34" t="inlineStr">
        <is>
          <t>Altamash Heroli</t>
        </is>
      </c>
      <c r="G34" t="inlineStr">
        <is>
          <t>QA Verified</t>
        </is>
      </c>
      <c r="H34" t="inlineStr"/>
      <c r="I34" t="inlineStr">
        <is>
          <t>P3</t>
        </is>
      </c>
      <c r="J34" s="29" t="n">
        <v>45992</v>
      </c>
      <c r="L34" s="29" t="n">
        <v>46045</v>
      </c>
      <c r="M34" t="inlineStr">
        <is>
          <t>sprint-Bertha</t>
        </is>
      </c>
      <c r="N34" s="11" t="n">
        <v>2</v>
      </c>
      <c r="O34" s="11" t="n">
        <v>4</v>
      </c>
      <c r="P34" t="inlineStr">
        <is>
          <t>FILTER</t>
        </is>
      </c>
      <c r="Q34" t="inlineStr">
        <is>
          <t>Capitalized-Feature</t>
        </is>
      </c>
      <c r="R34" t="inlineStr"/>
      <c r="S34" t="inlineStr"/>
    </row>
    <row r="35">
      <c r="A35" t="inlineStr">
        <is>
          <t>QA</t>
        </is>
      </c>
      <c r="B35" s="28" t="inlineStr">
        <is>
          <t>FILTER-11104</t>
        </is>
      </c>
      <c r="C35" s="20" t="inlineStr">
        <is>
          <t>New Feature | View the details of custom list</t>
        </is>
      </c>
      <c r="D35" t="inlineStr">
        <is>
          <t>FILTER-11098</t>
        </is>
      </c>
      <c r="E35" t="inlineStr">
        <is>
          <t>Story</t>
        </is>
      </c>
      <c r="F35" t="inlineStr">
        <is>
          <t>Altamash Heroli</t>
        </is>
      </c>
      <c r="G35" t="inlineStr">
        <is>
          <t>QA Verified</t>
        </is>
      </c>
      <c r="H35" t="inlineStr"/>
      <c r="I35" t="inlineStr">
        <is>
          <t>P3</t>
        </is>
      </c>
      <c r="J35" s="29" t="n">
        <v>45992</v>
      </c>
      <c r="L35" s="29" t="n">
        <v>46049</v>
      </c>
      <c r="M35" t="inlineStr">
        <is>
          <t>sprint-Bertha</t>
        </is>
      </c>
      <c r="N35" s="11" t="n">
        <v>0.08</v>
      </c>
      <c r="O35" s="11" t="n">
        <v>2</v>
      </c>
      <c r="P35" t="inlineStr">
        <is>
          <t>FILTER</t>
        </is>
      </c>
      <c r="Q35" t="inlineStr">
        <is>
          <t>Capitalized-Feature</t>
        </is>
      </c>
      <c r="R35" t="inlineStr"/>
      <c r="S35" t="inlineStr"/>
    </row>
    <row r="36">
      <c r="A36" t="inlineStr">
        <is>
          <t>QA</t>
        </is>
      </c>
      <c r="B36" s="28" t="inlineStr">
        <is>
          <t>FILTER-11107</t>
        </is>
      </c>
      <c r="C36" s="20" t="inlineStr">
        <is>
          <t>New Feature | Add URL to the Allow/Block list (Existing API)</t>
        </is>
      </c>
      <c r="D36" t="inlineStr">
        <is>
          <t>FILTER-11098</t>
        </is>
      </c>
      <c r="E36" t="inlineStr">
        <is>
          <t>Story</t>
        </is>
      </c>
      <c r="F36" t="inlineStr">
        <is>
          <t>Altamash Heroli</t>
        </is>
      </c>
      <c r="G36" t="inlineStr">
        <is>
          <t>QA Verified</t>
        </is>
      </c>
      <c r="H36" t="inlineStr"/>
      <c r="I36" t="inlineStr">
        <is>
          <t>P3</t>
        </is>
      </c>
      <c r="J36" s="29" t="n">
        <v>45992</v>
      </c>
      <c r="L36" s="29" t="n">
        <v>46045</v>
      </c>
      <c r="M36" t="inlineStr">
        <is>
          <t>sprint-Bertha</t>
        </is>
      </c>
      <c r="N36" s="11" t="n">
        <v>6</v>
      </c>
      <c r="O36" s="11" t="n">
        <v>6</v>
      </c>
      <c r="P36" t="inlineStr">
        <is>
          <t>FILTER</t>
        </is>
      </c>
      <c r="Q36" t="inlineStr">
        <is>
          <t>Capitalized-Feature</t>
        </is>
      </c>
      <c r="R36" t="inlineStr"/>
      <c r="S36" t="inlineStr"/>
    </row>
    <row r="37">
      <c r="A37" t="inlineStr">
        <is>
          <t>QA</t>
        </is>
      </c>
      <c r="B37" s="28" t="inlineStr">
        <is>
          <t>FILTER-11110</t>
        </is>
      </c>
      <c r="C37" s="20" t="inlineStr">
        <is>
          <t>New Feature | Deleting URL from the Allow/Block list (Existing API)</t>
        </is>
      </c>
      <c r="D37" t="inlineStr">
        <is>
          <t>FILTER-11098</t>
        </is>
      </c>
      <c r="E37" t="inlineStr">
        <is>
          <t>Story</t>
        </is>
      </c>
      <c r="F37" t="inlineStr">
        <is>
          <t>Altamash Heroli</t>
        </is>
      </c>
      <c r="G37" t="inlineStr">
        <is>
          <t>QA Verified</t>
        </is>
      </c>
      <c r="H37" t="inlineStr"/>
      <c r="I37" t="inlineStr">
        <is>
          <t>P3</t>
        </is>
      </c>
      <c r="J37" s="29" t="n">
        <v>45992</v>
      </c>
      <c r="L37" s="29" t="n">
        <v>46045</v>
      </c>
      <c r="M37" t="inlineStr">
        <is>
          <t>sprint-Bertha</t>
        </is>
      </c>
      <c r="N37" s="11" t="n">
        <v>4</v>
      </c>
      <c r="O37" s="11" t="n">
        <v>6</v>
      </c>
      <c r="P37" t="inlineStr">
        <is>
          <t>FILTER</t>
        </is>
      </c>
      <c r="Q37" t="inlineStr">
        <is>
          <t>Capitalized-Feature</t>
        </is>
      </c>
      <c r="R37" t="inlineStr"/>
      <c r="S37" t="inlineStr"/>
    </row>
    <row r="38">
      <c r="A38" t="inlineStr">
        <is>
          <t>QA</t>
        </is>
      </c>
      <c r="B38" s="28" t="inlineStr">
        <is>
          <t>FILTER-11113</t>
        </is>
      </c>
      <c r="C38" s="20" t="inlineStr">
        <is>
          <t>New Feature | Fetching allow/block list of policy</t>
        </is>
      </c>
      <c r="D38" t="inlineStr">
        <is>
          <t>FILTER-11098</t>
        </is>
      </c>
      <c r="E38" t="inlineStr">
        <is>
          <t>Story</t>
        </is>
      </c>
      <c r="F38" t="inlineStr">
        <is>
          <t>Altamash Heroli</t>
        </is>
      </c>
      <c r="G38" t="inlineStr">
        <is>
          <t>QA Verified</t>
        </is>
      </c>
      <c r="H38" t="inlineStr"/>
      <c r="I38" t="inlineStr">
        <is>
          <t>P3</t>
        </is>
      </c>
      <c r="J38" s="29" t="n">
        <v>45992</v>
      </c>
      <c r="L38" s="29" t="n">
        <v>46049</v>
      </c>
      <c r="M38" t="inlineStr">
        <is>
          <t>sprint-Bertha</t>
        </is>
      </c>
      <c r="N38" s="11" t="n">
        <v>0.08</v>
      </c>
      <c r="O38" s="11" t="n">
        <v>2</v>
      </c>
      <c r="P38" t="inlineStr">
        <is>
          <t>FILTER</t>
        </is>
      </c>
      <c r="Q38" t="inlineStr">
        <is>
          <t>Capitalized-Feature</t>
        </is>
      </c>
      <c r="R38" t="inlineStr"/>
      <c r="S38" t="inlineStr"/>
    </row>
    <row r="39">
      <c r="A39" t="inlineStr">
        <is>
          <t>QA</t>
        </is>
      </c>
      <c r="B39" s="28" t="inlineStr">
        <is>
          <t>FILTER-11209</t>
        </is>
      </c>
      <c r="C39" s="20" t="inlineStr">
        <is>
          <t>QA - main.rs module separation part-2</t>
        </is>
      </c>
      <c r="D39" t="inlineStr">
        <is>
          <t>FILTER-10743</t>
        </is>
      </c>
      <c r="E39" t="inlineStr">
        <is>
          <t>Task</t>
        </is>
      </c>
      <c r="F39" t="inlineStr">
        <is>
          <t>Altamash Heroli</t>
        </is>
      </c>
      <c r="G39" t="inlineStr">
        <is>
          <t>Closed without action</t>
        </is>
      </c>
      <c r="H39" t="inlineStr"/>
      <c r="I39" t="inlineStr">
        <is>
          <t>P3</t>
        </is>
      </c>
      <c r="J39" s="29" t="n">
        <v>45994</v>
      </c>
      <c r="L39" s="29" t="n">
        <v>45999</v>
      </c>
      <c r="M39" t="inlineStr">
        <is>
          <t>sprint-Bertha</t>
        </is>
      </c>
      <c r="N39" s="11" t="n">
        <v>0</v>
      </c>
      <c r="O39" s="11" t="n">
        <v>0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QA</t>
        </is>
      </c>
      <c r="B40" s="28" t="inlineStr">
        <is>
          <t>FILTER-11281</t>
        </is>
      </c>
      <c r="C40" s="20" t="inlineStr">
        <is>
          <t>QA - [sprox] SQS connection service implementation</t>
        </is>
      </c>
      <c r="D40" t="inlineStr">
        <is>
          <t>FILTER-10744</t>
        </is>
      </c>
      <c r="E40" t="inlineStr">
        <is>
          <t>Task</t>
        </is>
      </c>
      <c r="F40" t="inlineStr">
        <is>
          <t>Altamash Heroli</t>
        </is>
      </c>
      <c r="G40" t="inlineStr">
        <is>
          <t>Closed without action</t>
        </is>
      </c>
      <c r="H40" t="inlineStr"/>
      <c r="I40" t="inlineStr">
        <is>
          <t>P3</t>
        </is>
      </c>
      <c r="J40" s="29" t="n">
        <v>45995</v>
      </c>
      <c r="L40" s="29" t="n">
        <v>45999</v>
      </c>
      <c r="M40" t="inlineStr">
        <is>
          <t>sprint-Bertha</t>
        </is>
      </c>
      <c r="N40" s="11" t="n">
        <v>0</v>
      </c>
      <c r="O40" s="11" t="n">
        <v>0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QA</t>
        </is>
      </c>
      <c r="B41" s="28" t="inlineStr">
        <is>
          <t>FILTER-11284</t>
        </is>
      </c>
      <c r="C41" s="20" t="inlineStr">
        <is>
          <t>QA - [sprox] Td-Agent service implementation</t>
        </is>
      </c>
      <c r="D41" t="inlineStr">
        <is>
          <t>FILTER-10745</t>
        </is>
      </c>
      <c r="E41" t="inlineStr">
        <is>
          <t>Task</t>
        </is>
      </c>
      <c r="F41" t="inlineStr">
        <is>
          <t>Altamash Heroli</t>
        </is>
      </c>
      <c r="G41" t="inlineStr">
        <is>
          <t>Closed without action</t>
        </is>
      </c>
      <c r="H41" t="inlineStr"/>
      <c r="I41" t="inlineStr">
        <is>
          <t>P3</t>
        </is>
      </c>
      <c r="J41" s="29" t="n">
        <v>45995</v>
      </c>
      <c r="L41" s="29" t="n">
        <v>45999</v>
      </c>
      <c r="M41" t="inlineStr">
        <is>
          <t>sprint-Bertha</t>
        </is>
      </c>
      <c r="N41" s="11" t="n">
        <v>0</v>
      </c>
      <c r="O41" s="11" t="n">
        <v>0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QA</t>
        </is>
      </c>
      <c r="B42" s="28" t="inlineStr">
        <is>
          <t>FILTER-11542</t>
        </is>
      </c>
      <c r="C42" s="20" t="inlineStr">
        <is>
          <t>Manual QA Validation: Broker Stability and Log Audit (us-east-1 AL2)</t>
        </is>
      </c>
      <c r="D42" t="inlineStr">
        <is>
          <t>FILTER-11312</t>
        </is>
      </c>
      <c r="E42" t="inlineStr">
        <is>
          <t>Escape Defect</t>
        </is>
      </c>
      <c r="F42" t="inlineStr">
        <is>
          <t>Altamash Heroli</t>
        </is>
      </c>
      <c r="G42" t="inlineStr">
        <is>
          <t>Closed without action</t>
        </is>
      </c>
      <c r="H42" t="inlineStr"/>
      <c r="I42" t="inlineStr">
        <is>
          <t>P2</t>
        </is>
      </c>
      <c r="J42" s="29" t="n">
        <v>46012</v>
      </c>
      <c r="L42" s="29" t="n">
        <v>46055</v>
      </c>
      <c r="M42" t="inlineStr">
        <is>
          <t>sprint-Bertha</t>
        </is>
      </c>
      <c r="N42" s="11" t="n">
        <v>0</v>
      </c>
      <c r="O42" s="11" t="n">
        <v>0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QA</t>
        </is>
      </c>
      <c r="B43" s="28" t="inlineStr">
        <is>
          <t>FILTER-11641</t>
        </is>
      </c>
      <c r="C43" s="20" t="inlineStr">
        <is>
          <t>Manual QA Validation for Youtube Unrestricted mode</t>
        </is>
      </c>
      <c r="D43" t="inlineStr">
        <is>
          <t>FILTER-11638</t>
        </is>
      </c>
      <c r="E43" t="inlineStr">
        <is>
          <t>Escape Defect</t>
        </is>
      </c>
      <c r="F43" t="inlineStr">
        <is>
          <t>Altamash Heroli</t>
        </is>
      </c>
      <c r="G43" t="inlineStr">
        <is>
          <t>Done</t>
        </is>
      </c>
      <c r="H43" t="inlineStr"/>
      <c r="I43" t="inlineStr">
        <is>
          <t>P3</t>
        </is>
      </c>
      <c r="J43" s="29" t="n">
        <v>46036</v>
      </c>
      <c r="L43" s="29" t="n">
        <v>46128</v>
      </c>
      <c r="M43" t="inlineStr">
        <is>
          <t>sprint-Bertha</t>
        </is>
      </c>
      <c r="N43" s="11" t="n">
        <v>1</v>
      </c>
      <c r="O43" s="11" t="n">
        <v>4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QA</t>
        </is>
      </c>
      <c r="B44" s="28" t="inlineStr">
        <is>
          <t>FILTER-11648</t>
        </is>
      </c>
      <c r="C44" s="20" t="inlineStr">
        <is>
          <t>QA Task | P1 Escalation-Shortcut SmartPAC bypass; --user-agent | Seattleschools</t>
        </is>
      </c>
      <c r="D44" t="inlineStr">
        <is>
          <t>FILTER-7871</t>
        </is>
      </c>
      <c r="E44" t="inlineStr">
        <is>
          <t>Escape Defect</t>
        </is>
      </c>
      <c r="F44" t="inlineStr">
        <is>
          <t>Altamash Heroli</t>
        </is>
      </c>
      <c r="G44" t="inlineStr">
        <is>
          <t>Closed without action</t>
        </is>
      </c>
      <c r="H44" t="inlineStr"/>
      <c r="I44" t="inlineStr">
        <is>
          <t>P1</t>
        </is>
      </c>
      <c r="J44" s="29" t="n">
        <v>46037</v>
      </c>
      <c r="L44" s="29" t="n">
        <v>46049</v>
      </c>
      <c r="M44" t="inlineStr">
        <is>
          <t>sprint-Bertha</t>
        </is>
      </c>
      <c r="N44" s="11" t="n">
        <v>0</v>
      </c>
      <c r="O44" s="11" t="n">
        <v>0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QA</t>
        </is>
      </c>
      <c r="B45" s="28" t="inlineStr">
        <is>
          <t>FILTER-11730</t>
        </is>
      </c>
      <c r="C45" s="20" t="inlineStr">
        <is>
          <t xml:space="preserve">Manual QA task for retesting </t>
        </is>
      </c>
      <c r="D45" t="inlineStr">
        <is>
          <t>FILTER-11678</t>
        </is>
      </c>
      <c r="E45" t="inlineStr">
        <is>
          <t>Defect</t>
        </is>
      </c>
      <c r="F45" t="inlineStr">
        <is>
          <t>Altamash Heroli</t>
        </is>
      </c>
      <c r="G45" t="inlineStr">
        <is>
          <t>Closed without action</t>
        </is>
      </c>
      <c r="H45" t="inlineStr"/>
      <c r="I45" t="inlineStr">
        <is>
          <t>P0</t>
        </is>
      </c>
      <c r="J45" s="29" t="n">
        <v>46042</v>
      </c>
      <c r="L45" s="29" t="n">
        <v>46042</v>
      </c>
      <c r="M45" t="inlineStr">
        <is>
          <t>sprint-Bertha</t>
        </is>
      </c>
      <c r="N45" s="11" t="n">
        <v>0</v>
      </c>
      <c r="O45" s="11" t="n">
        <v>0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QA</t>
        </is>
      </c>
      <c r="B46" s="28" t="inlineStr">
        <is>
          <t>FILTER-11738</t>
        </is>
      </c>
      <c r="C46" s="20" t="inlineStr">
        <is>
          <t>QA Task for retest</t>
        </is>
      </c>
      <c r="D46" t="inlineStr">
        <is>
          <t>FILTER-11689</t>
        </is>
      </c>
      <c r="E46" t="inlineStr">
        <is>
          <t>Defect</t>
        </is>
      </c>
      <c r="F46" t="inlineStr">
        <is>
          <t>Altamash Heroli</t>
        </is>
      </c>
      <c r="G46" t="inlineStr">
        <is>
          <t>QA Verified</t>
        </is>
      </c>
      <c r="H46" t="inlineStr"/>
      <c r="I46" t="inlineStr">
        <is>
          <t>P1</t>
        </is>
      </c>
      <c r="J46" s="29" t="n">
        <v>46042</v>
      </c>
      <c r="L46" s="29" t="n">
        <v>46065</v>
      </c>
      <c r="M46" t="inlineStr">
        <is>
          <t>sprint-Bertha</t>
        </is>
      </c>
      <c r="N46" s="11" t="n">
        <v>1</v>
      </c>
      <c r="O46" s="11" t="n">
        <v>1</v>
      </c>
      <c r="P46" t="inlineStr">
        <is>
          <t>FILTER</t>
        </is>
      </c>
      <c r="Q46" t="inlineStr">
        <is>
          <t>Capitalized-Feature</t>
        </is>
      </c>
      <c r="R46" t="inlineStr"/>
      <c r="S46" t="inlineStr"/>
    </row>
    <row r="47">
      <c r="A47" t="inlineStr">
        <is>
          <t>QA</t>
        </is>
      </c>
      <c r="B47" s="28" t="inlineStr">
        <is>
          <t>FILTER-11739</t>
        </is>
      </c>
      <c r="C47" s="20" t="inlineStr">
        <is>
          <t>QA task for retest</t>
        </is>
      </c>
      <c r="D47" t="inlineStr">
        <is>
          <t>FILTER-11690</t>
        </is>
      </c>
      <c r="E47" t="inlineStr">
        <is>
          <t>Defect</t>
        </is>
      </c>
      <c r="F47" t="inlineStr">
        <is>
          <t>Altamash Heroli</t>
        </is>
      </c>
      <c r="G47" t="inlineStr">
        <is>
          <t>Done</t>
        </is>
      </c>
      <c r="H47" t="inlineStr"/>
      <c r="I47" t="inlineStr">
        <is>
          <t>P1</t>
        </is>
      </c>
      <c r="J47" s="29" t="n">
        <v>46042</v>
      </c>
      <c r="L47" s="29" t="n">
        <v>46065</v>
      </c>
      <c r="M47" t="inlineStr">
        <is>
          <t>sprint-Bertha</t>
        </is>
      </c>
      <c r="N47" s="11" t="n">
        <v>1.02</v>
      </c>
      <c r="O47" s="11" t="n">
        <v>1</v>
      </c>
      <c r="P47" t="inlineStr">
        <is>
          <t>FILTER</t>
        </is>
      </c>
      <c r="Q47" t="inlineStr">
        <is>
          <t>Capitalized-Feature</t>
        </is>
      </c>
      <c r="R47" t="inlineStr"/>
      <c r="S47" t="inlineStr"/>
    </row>
    <row r="48">
      <c r="A48" t="inlineStr">
        <is>
          <t>Automation</t>
        </is>
      </c>
      <c r="B48" s="28" t="inlineStr">
        <is>
          <t>FILTER-10857</t>
        </is>
      </c>
      <c r="C48" s="20" t="inlineStr">
        <is>
          <t>Automation - List of custom list (New API)</t>
        </is>
      </c>
      <c r="D48" t="inlineStr">
        <is>
          <t>FILTER-10835</t>
        </is>
      </c>
      <c r="E48" t="inlineStr">
        <is>
          <t>Story</t>
        </is>
      </c>
      <c r="F48" t="inlineStr">
        <is>
          <t>Amit Shete</t>
        </is>
      </c>
      <c r="G48" t="inlineStr">
        <is>
          <t>Done</t>
        </is>
      </c>
      <c r="H48" t="inlineStr"/>
      <c r="I48" t="inlineStr">
        <is>
          <t>P3</t>
        </is>
      </c>
      <c r="J48" s="29" t="n">
        <v>45982</v>
      </c>
      <c r="L48" s="29" t="n">
        <v>46031</v>
      </c>
      <c r="M48" t="inlineStr">
        <is>
          <t>sprint-Bertha</t>
        </is>
      </c>
      <c r="N48" s="11" t="n">
        <v>8.5</v>
      </c>
      <c r="O48" s="11" t="n">
        <v>8</v>
      </c>
      <c r="P48" t="inlineStr">
        <is>
          <t>FILTER</t>
        </is>
      </c>
      <c r="Q48" t="inlineStr">
        <is>
          <t>Capitalized-Feature</t>
        </is>
      </c>
      <c r="R48" t="inlineStr"/>
      <c r="S48" t="inlineStr"/>
    </row>
    <row r="49">
      <c r="A49" t="inlineStr">
        <is>
          <t>Automation</t>
        </is>
      </c>
      <c r="B49" s="28" t="inlineStr">
        <is>
          <t>FILTER-10860</t>
        </is>
      </c>
      <c r="C49" s="20" t="inlineStr">
        <is>
          <t>Automation - Get Resources of securly custom list (New API)</t>
        </is>
      </c>
      <c r="D49" t="inlineStr">
        <is>
          <t>FILTER-10835</t>
        </is>
      </c>
      <c r="E49" t="inlineStr">
        <is>
          <t>Story</t>
        </is>
      </c>
      <c r="F49" t="inlineStr">
        <is>
          <t>Amit Shete</t>
        </is>
      </c>
      <c r="G49" t="inlineStr">
        <is>
          <t>Done</t>
        </is>
      </c>
      <c r="H49" t="inlineStr"/>
      <c r="I49" t="inlineStr">
        <is>
          <t>P3</t>
        </is>
      </c>
      <c r="J49" s="29" t="n">
        <v>45982</v>
      </c>
      <c r="L49" s="29" t="n">
        <v>46031</v>
      </c>
      <c r="M49" t="inlineStr">
        <is>
          <t>sprint-Bertha</t>
        </is>
      </c>
      <c r="N49" s="11" t="n">
        <v>6</v>
      </c>
      <c r="O49" s="11" t="n">
        <v>5</v>
      </c>
      <c r="P49" t="inlineStr">
        <is>
          <t>FILTER</t>
        </is>
      </c>
      <c r="Q49" t="inlineStr">
        <is>
          <t>Capitalized-Feature</t>
        </is>
      </c>
      <c r="R49" t="inlineStr"/>
      <c r="S49" t="inlineStr"/>
    </row>
    <row r="50">
      <c r="A50" t="inlineStr">
        <is>
          <t>Automation</t>
        </is>
      </c>
      <c r="B50" s="28" t="inlineStr">
        <is>
          <t>FILTER-10863</t>
        </is>
      </c>
      <c r="C50" s="20" t="inlineStr">
        <is>
          <t>Add/Update custom list (New API)</t>
        </is>
      </c>
      <c r="D50" t="inlineStr">
        <is>
          <t>FILTER-10835</t>
        </is>
      </c>
      <c r="E50" t="inlineStr">
        <is>
          <t>Story</t>
        </is>
      </c>
      <c r="F50" t="inlineStr">
        <is>
          <t>Amit Shete</t>
        </is>
      </c>
      <c r="G50" t="inlineStr">
        <is>
          <t>Done</t>
        </is>
      </c>
      <c r="H50" t="inlineStr"/>
      <c r="I50" t="inlineStr">
        <is>
          <t>P3</t>
        </is>
      </c>
      <c r="J50" s="29" t="n">
        <v>45982</v>
      </c>
      <c r="L50" s="29" t="n">
        <v>46031</v>
      </c>
      <c r="M50" t="inlineStr">
        <is>
          <t>sprint-Bertha</t>
        </is>
      </c>
      <c r="N50" s="11" t="n">
        <v>4.5</v>
      </c>
      <c r="O50" s="11" t="n">
        <v>5</v>
      </c>
      <c r="P50" t="inlineStr">
        <is>
          <t>FILTER</t>
        </is>
      </c>
      <c r="Q50" t="inlineStr">
        <is>
          <t>Capitalized-Feature</t>
        </is>
      </c>
      <c r="R50" t="inlineStr"/>
      <c r="S50" t="inlineStr"/>
    </row>
    <row r="51">
      <c r="A51" t="inlineStr">
        <is>
          <t>Automation</t>
        </is>
      </c>
      <c r="B51" s="28" t="inlineStr">
        <is>
          <t>FILTER-10866</t>
        </is>
      </c>
      <c r="C51" s="20" t="inlineStr">
        <is>
          <t>Automation - Delete custom list (New API)</t>
        </is>
      </c>
      <c r="D51" t="inlineStr">
        <is>
          <t>FILTER-10835</t>
        </is>
      </c>
      <c r="E51" t="inlineStr">
        <is>
          <t>Story</t>
        </is>
      </c>
      <c r="F51" t="inlineStr">
        <is>
          <t>Amit Shete</t>
        </is>
      </c>
      <c r="G51" t="inlineStr">
        <is>
          <t>Done</t>
        </is>
      </c>
      <c r="H51" t="inlineStr"/>
      <c r="I51" t="inlineStr">
        <is>
          <t>P3</t>
        </is>
      </c>
      <c r="J51" s="29" t="n">
        <v>45982</v>
      </c>
      <c r="L51" s="29" t="n">
        <v>46031</v>
      </c>
      <c r="M51" t="inlineStr">
        <is>
          <t>sprint-Bertha</t>
        </is>
      </c>
      <c r="N51" s="11" t="n">
        <v>3.5</v>
      </c>
      <c r="O51" s="11" t="n">
        <v>4</v>
      </c>
      <c r="P51" t="inlineStr">
        <is>
          <t>FILTER</t>
        </is>
      </c>
      <c r="Q51" t="inlineStr">
        <is>
          <t>Capitalized-Feature</t>
        </is>
      </c>
      <c r="R51" t="inlineStr"/>
      <c r="S51" t="inlineStr"/>
    </row>
    <row r="52">
      <c r="A52" t="inlineStr">
        <is>
          <t>Automation</t>
        </is>
      </c>
      <c r="B52" s="28" t="inlineStr">
        <is>
          <t>FILTER-10869</t>
        </is>
      </c>
      <c r="C52" s="20" t="inlineStr">
        <is>
          <t>How to Handle sycing Error</t>
        </is>
      </c>
      <c r="D52" t="inlineStr">
        <is>
          <t>FILTER-10835</t>
        </is>
      </c>
      <c r="E52" t="inlineStr">
        <is>
          <t>Story</t>
        </is>
      </c>
      <c r="F52" t="inlineStr">
        <is>
          <t>Amit Shete</t>
        </is>
      </c>
      <c r="G52" t="inlineStr">
        <is>
          <t>Done</t>
        </is>
      </c>
      <c r="H52" t="inlineStr"/>
      <c r="I52" t="inlineStr">
        <is>
          <t>P3</t>
        </is>
      </c>
      <c r="J52" s="29" t="n">
        <v>45982</v>
      </c>
      <c r="L52" s="29" t="n">
        <v>46056</v>
      </c>
      <c r="M52" t="inlineStr">
        <is>
          <t>sprint-Bertha</t>
        </is>
      </c>
      <c r="N52" s="11" t="n">
        <v>6</v>
      </c>
      <c r="O52" s="11" t="n">
        <v>6</v>
      </c>
      <c r="P52" t="inlineStr">
        <is>
          <t>FILTER</t>
        </is>
      </c>
      <c r="Q52" t="inlineStr">
        <is>
          <t>Capitalized-Feature</t>
        </is>
      </c>
      <c r="R52" t="inlineStr"/>
      <c r="S52" t="inlineStr"/>
    </row>
    <row r="53">
      <c r="A53" t="inlineStr">
        <is>
          <t>Automation</t>
        </is>
      </c>
      <c r="B53" s="28" t="inlineStr">
        <is>
          <t>FILTER-11089</t>
        </is>
      </c>
      <c r="C53" s="20" t="inlineStr">
        <is>
          <t>New Feature | Local Custom Lists (FID-specific)</t>
        </is>
      </c>
      <c r="D53" t="inlineStr">
        <is>
          <t>FILTER-11087</t>
        </is>
      </c>
      <c r="E53" t="inlineStr">
        <is>
          <t>Story</t>
        </is>
      </c>
      <c r="F53" t="inlineStr">
        <is>
          <t>Amit Shete</t>
        </is>
      </c>
      <c r="G53" t="inlineStr">
        <is>
          <t>Done</t>
        </is>
      </c>
      <c r="H53" t="inlineStr"/>
      <c r="I53" t="inlineStr">
        <is>
          <t>P3</t>
        </is>
      </c>
      <c r="J53" s="29" t="n">
        <v>45992</v>
      </c>
      <c r="L53" s="29" t="n">
        <v>46055</v>
      </c>
      <c r="M53" t="inlineStr">
        <is>
          <t>sprint-Bertha</t>
        </is>
      </c>
      <c r="N53" s="11" t="n">
        <v>4.5</v>
      </c>
      <c r="O53" s="11" t="n">
        <v>5</v>
      </c>
      <c r="P53" t="inlineStr">
        <is>
          <t>FILTER</t>
        </is>
      </c>
      <c r="Q53" t="inlineStr">
        <is>
          <t>Capitalized-Feature</t>
        </is>
      </c>
      <c r="R53" t="inlineStr"/>
      <c r="S53" t="inlineStr"/>
    </row>
    <row r="54">
      <c r="A54" t="inlineStr">
        <is>
          <t>Automation</t>
        </is>
      </c>
      <c r="B54" s="28" t="inlineStr">
        <is>
          <t>FILTER-11092</t>
        </is>
      </c>
      <c r="C54" s="20" t="inlineStr">
        <is>
          <t>New Feature | Global Custom Lists (Shared Across FIDs)</t>
        </is>
      </c>
      <c r="D54" t="inlineStr">
        <is>
          <t>FILTER-11087</t>
        </is>
      </c>
      <c r="E54" t="inlineStr">
        <is>
          <t>Story</t>
        </is>
      </c>
      <c r="F54" t="inlineStr">
        <is>
          <t>Amit Shete</t>
        </is>
      </c>
      <c r="G54" t="inlineStr">
        <is>
          <t>Done</t>
        </is>
      </c>
      <c r="H54" t="inlineStr"/>
      <c r="I54" t="inlineStr">
        <is>
          <t>P3</t>
        </is>
      </c>
      <c r="J54" s="29" t="n">
        <v>45992</v>
      </c>
      <c r="L54" s="29" t="n">
        <v>46055</v>
      </c>
      <c r="M54" t="inlineStr">
        <is>
          <t>sprint-Bertha</t>
        </is>
      </c>
      <c r="N54" s="11" t="n">
        <v>4.5</v>
      </c>
      <c r="O54" s="11" t="n">
        <v>5</v>
      </c>
      <c r="P54" t="inlineStr">
        <is>
          <t>FILTER</t>
        </is>
      </c>
      <c r="Q54" t="inlineStr">
        <is>
          <t>Capitalized-Feature</t>
        </is>
      </c>
      <c r="R54" t="inlineStr"/>
      <c r="S54" t="inlineStr"/>
    </row>
    <row r="55">
      <c r="A55" t="inlineStr">
        <is>
          <t>Automation</t>
        </is>
      </c>
      <c r="B55" s="28" t="inlineStr">
        <is>
          <t>FILTER-11468</t>
        </is>
      </c>
      <c r="C55" s="20" t="inlineStr">
        <is>
          <t>Automation task for backmerge to TS Extension FILTER-8535</t>
        </is>
      </c>
      <c r="D55" t="inlineStr">
        <is>
          <t>FILTER-11465</t>
        </is>
      </c>
      <c r="E55" t="inlineStr">
        <is>
          <t>Task</t>
        </is>
      </c>
      <c r="F55" t="inlineStr">
        <is>
          <t>Amit Shete</t>
        </is>
      </c>
      <c r="G55" t="inlineStr">
        <is>
          <t>Closed without action</t>
        </is>
      </c>
      <c r="H55" t="inlineStr"/>
      <c r="I55" t="inlineStr">
        <is>
          <t>P3</t>
        </is>
      </c>
      <c r="J55" s="29" t="n">
        <v>46009</v>
      </c>
      <c r="L55" s="29" t="n">
        <v>46037</v>
      </c>
      <c r="M55" t="inlineStr">
        <is>
          <t>sprint-Bertha</t>
        </is>
      </c>
      <c r="N55" s="11" t="n">
        <v>0</v>
      </c>
      <c r="O55" s="11" t="n">
        <v>0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Automation</t>
        </is>
      </c>
      <c r="B56" s="28" t="inlineStr">
        <is>
          <t>FILTER-11541</t>
        </is>
      </c>
      <c r="C56" s="20" t="inlineStr">
        <is>
          <t>Automated P1 Regression: Stress Test Broker with Malformed Time Strings and Null Auth</t>
        </is>
      </c>
      <c r="D56" t="inlineStr">
        <is>
          <t>FILTER-11312</t>
        </is>
      </c>
      <c r="E56" t="inlineStr">
        <is>
          <t>Escape Defect</t>
        </is>
      </c>
      <c r="F56" t="inlineStr">
        <is>
          <t>Amit Shete</t>
        </is>
      </c>
      <c r="G56" t="inlineStr">
        <is>
          <t>Closed without action</t>
        </is>
      </c>
      <c r="H56" t="inlineStr"/>
      <c r="I56" t="inlineStr">
        <is>
          <t>P2</t>
        </is>
      </c>
      <c r="J56" s="29" t="n">
        <v>46012</v>
      </c>
      <c r="L56" s="29" t="n">
        <v>46056</v>
      </c>
      <c r="M56" t="inlineStr">
        <is>
          <t>sprint-Bertha</t>
        </is>
      </c>
      <c r="N56" s="11" t="n">
        <v>0</v>
      </c>
      <c r="O56" s="11" t="n">
        <v>6</v>
      </c>
      <c r="P56" t="inlineStr">
        <is>
          <t>FILTER</t>
        </is>
      </c>
      <c r="Q56" t="inlineStr"/>
      <c r="R56" t="inlineStr"/>
      <c r="S56" t="inlineStr"/>
    </row>
    <row r="57">
      <c r="A57" t="inlineStr">
        <is>
          <t>Automation</t>
        </is>
      </c>
      <c r="B57" s="28" t="inlineStr">
        <is>
          <t>FILTER-11663</t>
        </is>
      </c>
      <c r="C57" s="20" t="inlineStr">
        <is>
          <t>Create Automated Tests for iOS Image Sidebar Inappropriate Image Leak Fix</t>
        </is>
      </c>
      <c r="D57" t="inlineStr">
        <is>
          <t>FILTER-11644</t>
        </is>
      </c>
      <c r="E57" t="inlineStr">
        <is>
          <t>Escape Defect</t>
        </is>
      </c>
      <c r="F57" t="inlineStr">
        <is>
          <t>Amit Shete</t>
        </is>
      </c>
      <c r="G57" t="inlineStr">
        <is>
          <t>Closed without action</t>
        </is>
      </c>
      <c r="H57" t="inlineStr"/>
      <c r="I57" t="inlineStr">
        <is>
          <t>P1</t>
        </is>
      </c>
      <c r="J57" s="29" t="n">
        <v>46037</v>
      </c>
      <c r="L57" s="29" t="n">
        <v>46056</v>
      </c>
      <c r="M57" t="inlineStr">
        <is>
          <t>sprint-Bertha</t>
        </is>
      </c>
      <c r="N57" s="11" t="n">
        <v>0</v>
      </c>
      <c r="O57" s="11" t="n">
        <v>5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Defect</t>
        </is>
      </c>
      <c r="B58" s="28" t="inlineStr">
        <is>
          <t>FILTER-10624</t>
        </is>
      </c>
      <c r="C58" s="20" t="inlineStr">
        <is>
          <t>NewFeatureBug: Block page shows blurred image and Image results do not show info</t>
        </is>
      </c>
      <c r="D58" t="inlineStr"/>
      <c r="E58" t="inlineStr"/>
      <c r="F58" t="inlineStr">
        <is>
          <t>Arun Thakur</t>
        </is>
      </c>
      <c r="G58" t="inlineStr">
        <is>
          <t>RELEASED TO PROD</t>
        </is>
      </c>
      <c r="H58" t="inlineStr">
        <is>
          <t>Fixed</t>
        </is>
      </c>
      <c r="I58" t="inlineStr">
        <is>
          <t>P3</t>
        </is>
      </c>
      <c r="J58" s="29" t="n">
        <v>45966</v>
      </c>
      <c r="K58" s="29" t="n">
        <v>45967</v>
      </c>
      <c r="L58" s="29" t="n">
        <v>46065</v>
      </c>
      <c r="M58" t="inlineStr">
        <is>
          <t>sprint-Bertha</t>
        </is>
      </c>
      <c r="N58" s="11" t="n">
        <v>0.5</v>
      </c>
      <c r="O58" s="11" t="n">
        <v>0.5</v>
      </c>
      <c r="P58" t="inlineStr">
        <is>
          <t>FILTER</t>
        </is>
      </c>
      <c r="Q58" t="inlineStr">
        <is>
          <t>unplanned-sprint</t>
        </is>
      </c>
      <c r="R58" t="inlineStr"/>
      <c r="S58" t="inlineStr"/>
    </row>
    <row r="59">
      <c r="A59" t="inlineStr">
        <is>
          <t>Dev</t>
        </is>
      </c>
      <c r="B59" s="28" t="inlineStr">
        <is>
          <t>FILTER-11917</t>
        </is>
      </c>
      <c r="C59" s="20" t="inlineStr">
        <is>
          <t>Remove school.pepikutan.net - rammerhead from vector expansion config.json</t>
        </is>
      </c>
      <c r="D59" t="inlineStr">
        <is>
          <t>FILTER-11787</t>
        </is>
      </c>
      <c r="E59" t="inlineStr">
        <is>
          <t>Task</t>
        </is>
      </c>
      <c r="F59" t="inlineStr">
        <is>
          <t>Arun Thakur</t>
        </is>
      </c>
      <c r="G59" t="inlineStr">
        <is>
          <t>Done</t>
        </is>
      </c>
      <c r="H59" t="inlineStr"/>
      <c r="I59" t="inlineStr">
        <is>
          <t>P3</t>
        </is>
      </c>
      <c r="J59" s="29" t="n">
        <v>46055</v>
      </c>
      <c r="L59" s="29" t="n">
        <v>46055</v>
      </c>
      <c r="M59" t="inlineStr">
        <is>
          <t>sprint-Bertha</t>
        </is>
      </c>
      <c r="N59" s="11" t="n">
        <v>3</v>
      </c>
      <c r="O59" s="11" t="n">
        <v>3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Escape Defect</t>
        </is>
      </c>
      <c r="B60" s="28" t="inlineStr">
        <is>
          <t>FILTER-10237</t>
        </is>
      </c>
      <c r="C60" s="20" t="inlineStr">
        <is>
          <t>P1 escalation-Crextn-specific Bypass using upgraded credentials</t>
        </is>
      </c>
      <c r="D60" t="inlineStr"/>
      <c r="E60" t="inlineStr"/>
      <c r="F60" t="inlineStr">
        <is>
          <t>Ashish Modak</t>
        </is>
      </c>
      <c r="G60" t="inlineStr">
        <is>
          <t>Release in Progress</t>
        </is>
      </c>
      <c r="H60" t="inlineStr">
        <is>
          <t>Fixed</t>
        </is>
      </c>
      <c r="I60" t="inlineStr">
        <is>
          <t>P1</t>
        </is>
      </c>
      <c r="J60" s="29" t="n">
        <v>45926</v>
      </c>
      <c r="K60" s="29" t="n">
        <v>45981</v>
      </c>
      <c r="L60" s="29" t="n">
        <v>46056</v>
      </c>
      <c r="M60" t="inlineStr">
        <is>
          <t>sprint-Bertha</t>
        </is>
      </c>
      <c r="N60" s="11" t="n">
        <v>6</v>
      </c>
      <c r="O60" s="11" t="n">
        <v>6</v>
      </c>
      <c r="P60" t="inlineStr">
        <is>
          <t>FILTER</t>
        </is>
      </c>
      <c r="Q60" t="inlineStr">
        <is>
          <t>Reverified-2025, jira_added, jira_backlog, jira_escalated, jira_in_progress, p1escalation, unplanned-sprint</t>
        </is>
      </c>
      <c r="R60" t="inlineStr"/>
      <c r="S60" t="inlineStr"/>
    </row>
    <row r="61">
      <c r="A61" t="inlineStr">
        <is>
          <t>Dev</t>
        </is>
      </c>
      <c r="B61" s="28" t="inlineStr">
        <is>
          <t>FILTER-11377</t>
        </is>
      </c>
      <c r="C61" s="20" t="inlineStr">
        <is>
          <t>Broker Logic Fix: Prevent Managed Chromebooks from Redirecting to DNS Broker when DNS Bit is ON</t>
        </is>
      </c>
      <c r="D61" t="inlineStr">
        <is>
          <t>FILTER-11325</t>
        </is>
      </c>
      <c r="E61" t="inlineStr">
        <is>
          <t>Story</t>
        </is>
      </c>
      <c r="F61" t="inlineStr">
        <is>
          <t>Ashish Modak</t>
        </is>
      </c>
      <c r="G61" t="inlineStr">
        <is>
          <t>Done</t>
        </is>
      </c>
      <c r="H61" t="inlineStr"/>
      <c r="I61" t="inlineStr">
        <is>
          <t>P1</t>
        </is>
      </c>
      <c r="J61" s="29" t="n">
        <v>46000</v>
      </c>
      <c r="L61" s="29" t="n">
        <v>46049</v>
      </c>
      <c r="M61" t="inlineStr">
        <is>
          <t>sprint-Bertha</t>
        </is>
      </c>
      <c r="N61" s="11" t="n">
        <v>12</v>
      </c>
      <c r="O61" s="11" t="n">
        <v>12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Dev</t>
        </is>
      </c>
      <c r="B62" s="28" t="inlineStr">
        <is>
          <t>FILTER-11391</t>
        </is>
      </c>
      <c r="C62" s="20" t="inlineStr">
        <is>
          <t>Fix CKEC Filter Bypass: Intercept Navigation from chrome://chrome-signin Internal Pages</t>
        </is>
      </c>
      <c r="D62" t="inlineStr">
        <is>
          <t>FILTER-11047</t>
        </is>
      </c>
      <c r="E62" t="inlineStr">
        <is>
          <t>Escape Defect</t>
        </is>
      </c>
      <c r="F62" t="inlineStr">
        <is>
          <t>Ashish Modak</t>
        </is>
      </c>
      <c r="G62" t="inlineStr">
        <is>
          <t>Done</t>
        </is>
      </c>
      <c r="H62" t="inlineStr"/>
      <c r="I62" t="inlineStr">
        <is>
          <t>P1</t>
        </is>
      </c>
      <c r="J62" s="29" t="n">
        <v>46000</v>
      </c>
      <c r="L62" s="29" t="n">
        <v>46049</v>
      </c>
      <c r="M62" t="inlineStr">
        <is>
          <t>sprint-Bertha</t>
        </is>
      </c>
      <c r="N62" s="11" t="n">
        <v>16</v>
      </c>
      <c r="O62" s="11" t="n">
        <v>16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Dev</t>
        </is>
      </c>
      <c r="B63" s="28" t="inlineStr">
        <is>
          <t>FILTER-11810</t>
        </is>
      </c>
      <c r="C63" s="20" t="inlineStr">
        <is>
          <t>[Extension] POC to avoid double filtering on Managed chromebooks.</t>
        </is>
      </c>
      <c r="D63" t="inlineStr">
        <is>
          <t>FILTER-11325</t>
        </is>
      </c>
      <c r="E63" t="inlineStr">
        <is>
          <t>Story</t>
        </is>
      </c>
      <c r="F63" t="inlineStr">
        <is>
          <t>Ashish Modak</t>
        </is>
      </c>
      <c r="G63" t="inlineStr">
        <is>
          <t>Done</t>
        </is>
      </c>
      <c r="H63" t="inlineStr"/>
      <c r="I63" t="inlineStr">
        <is>
          <t>P3</t>
        </is>
      </c>
      <c r="J63" s="29" t="n">
        <v>46050</v>
      </c>
      <c r="L63" s="29" t="n">
        <v>46050</v>
      </c>
      <c r="M63" t="inlineStr">
        <is>
          <t>sprint-Bertha</t>
        </is>
      </c>
      <c r="N63" s="11" t="n">
        <v>8</v>
      </c>
      <c r="O63" s="11" t="n">
        <v>8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Dev</t>
        </is>
      </c>
      <c r="B64" s="28" t="inlineStr">
        <is>
          <t>FILTER-11279</t>
        </is>
      </c>
      <c r="C64" s="20" t="inlineStr">
        <is>
          <t>[sprox] SQS connection service implementation</t>
        </is>
      </c>
      <c r="D64" t="inlineStr">
        <is>
          <t>FILTER-10744</t>
        </is>
      </c>
      <c r="E64" t="inlineStr">
        <is>
          <t>Task</t>
        </is>
      </c>
      <c r="F64" t="inlineStr">
        <is>
          <t>Ashish Temurnikar</t>
        </is>
      </c>
      <c r="G64" t="inlineStr">
        <is>
          <t>Done</t>
        </is>
      </c>
      <c r="H64" t="inlineStr"/>
      <c r="I64" t="inlineStr">
        <is>
          <t>P3</t>
        </is>
      </c>
      <c r="J64" s="29" t="n">
        <v>45995</v>
      </c>
      <c r="L64" s="29" t="n">
        <v>46055</v>
      </c>
      <c r="M64" t="inlineStr">
        <is>
          <t>sprint-Bertha</t>
        </is>
      </c>
      <c r="N64" s="11" t="n">
        <v>16</v>
      </c>
      <c r="O64" s="11" t="n">
        <v>8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Dev</t>
        </is>
      </c>
      <c r="B65" s="28" t="inlineStr">
        <is>
          <t>FILTER-11282</t>
        </is>
      </c>
      <c r="C65" s="20" t="inlineStr">
        <is>
          <t>[sprox] Td-Agent service implementation</t>
        </is>
      </c>
      <c r="D65" t="inlineStr">
        <is>
          <t>FILTER-10745</t>
        </is>
      </c>
      <c r="E65" t="inlineStr">
        <is>
          <t>Task</t>
        </is>
      </c>
      <c r="F65" t="inlineStr">
        <is>
          <t>Ashish Temurnikar</t>
        </is>
      </c>
      <c r="G65" t="inlineStr">
        <is>
          <t>Done</t>
        </is>
      </c>
      <c r="H65" t="inlineStr"/>
      <c r="I65" t="inlineStr">
        <is>
          <t>P3</t>
        </is>
      </c>
      <c r="J65" s="29" t="n">
        <v>45995</v>
      </c>
      <c r="L65" s="29" t="n">
        <v>46055</v>
      </c>
      <c r="M65" t="inlineStr">
        <is>
          <t>sprint-Bertha</t>
        </is>
      </c>
      <c r="N65" s="11" t="n">
        <v>16</v>
      </c>
      <c r="O65" s="11" t="n">
        <v>8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Dev</t>
        </is>
      </c>
      <c r="B66" s="28" t="inlineStr">
        <is>
          <t>FILTER-11647</t>
        </is>
      </c>
      <c r="C66" s="20" t="inlineStr">
        <is>
          <t>P1 Escalation-Shortcut SmartPAC bypass; --user-agent | Seattleschools</t>
        </is>
      </c>
      <c r="D66" t="inlineStr">
        <is>
          <t>FILTER-7871</t>
        </is>
      </c>
      <c r="E66" t="inlineStr">
        <is>
          <t>Escape Defect</t>
        </is>
      </c>
      <c r="F66" t="inlineStr">
        <is>
          <t>Ashish Temurnikar</t>
        </is>
      </c>
      <c r="G66" t="inlineStr">
        <is>
          <t>Closed without action</t>
        </is>
      </c>
      <c r="H66" t="inlineStr"/>
      <c r="I66" t="inlineStr">
        <is>
          <t>P1</t>
        </is>
      </c>
      <c r="J66" s="29" t="n">
        <v>46037</v>
      </c>
      <c r="L66" s="29" t="n">
        <v>46049</v>
      </c>
      <c r="M66" t="inlineStr">
        <is>
          <t>sprint-Bertha</t>
        </is>
      </c>
      <c r="N66" s="11" t="n">
        <v>0</v>
      </c>
      <c r="O66" s="11" t="n">
        <v>0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Dev</t>
        </is>
      </c>
      <c r="B67" s="28" t="inlineStr">
        <is>
          <t>FILTER-11662</t>
        </is>
      </c>
      <c r="C67" s="20" t="inlineStr">
        <is>
          <t>Fix Image Sidebar Leaking Inappropriate Images on iOS (iPadOS/Safari)</t>
        </is>
      </c>
      <c r="D67" t="inlineStr">
        <is>
          <t>FILTER-11644</t>
        </is>
      </c>
      <c r="E67" t="inlineStr">
        <is>
          <t>Escape Defect</t>
        </is>
      </c>
      <c r="F67" t="inlineStr">
        <is>
          <t>Ashish Temurnikar</t>
        </is>
      </c>
      <c r="G67" t="inlineStr">
        <is>
          <t>Done</t>
        </is>
      </c>
      <c r="H67" t="inlineStr"/>
      <c r="I67" t="inlineStr">
        <is>
          <t>P1</t>
        </is>
      </c>
      <c r="J67" s="29" t="n">
        <v>46037</v>
      </c>
      <c r="L67" s="29" t="n">
        <v>46051</v>
      </c>
      <c r="M67" t="inlineStr">
        <is>
          <t>sprint-Bertha</t>
        </is>
      </c>
      <c r="N67" s="11" t="n">
        <v>12</v>
      </c>
      <c r="O67" s="11" t="n">
        <v>12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Dev</t>
        </is>
      </c>
      <c r="B68" s="28" t="inlineStr">
        <is>
          <t>FILTER-11681</t>
        </is>
      </c>
      <c r="C68" s="20" t="inlineStr">
        <is>
          <t>[SPAC] Domains request from SPAC to Pagescan</t>
        </is>
      </c>
      <c r="D68" t="inlineStr">
        <is>
          <t>FILTER-11680</t>
        </is>
      </c>
      <c r="E68" t="inlineStr">
        <is>
          <t>Escape Defect</t>
        </is>
      </c>
      <c r="F68" t="inlineStr">
        <is>
          <t>Ashish Temurnikar</t>
        </is>
      </c>
      <c r="G68" t="inlineStr">
        <is>
          <t>Done</t>
        </is>
      </c>
      <c r="H68" t="inlineStr"/>
      <c r="I68" t="inlineStr">
        <is>
          <t>P1</t>
        </is>
      </c>
      <c r="J68" s="29" t="n">
        <v>46038</v>
      </c>
      <c r="L68" s="29" t="n">
        <v>46043</v>
      </c>
      <c r="M68" t="inlineStr">
        <is>
          <t>sprint-Bertha</t>
        </is>
      </c>
      <c r="N68" s="11" t="n">
        <v>10</v>
      </c>
      <c r="O68" s="11" t="n">
        <v>8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Dev</t>
        </is>
      </c>
      <c r="B69" s="28" t="inlineStr">
        <is>
          <t>FILTER-11809</t>
        </is>
      </c>
      <c r="C69" s="20" t="inlineStr">
        <is>
          <t>[dns/spac] Squid logic to check extension variable in url</t>
        </is>
      </c>
      <c r="D69" t="inlineStr">
        <is>
          <t>FILTER-11325</t>
        </is>
      </c>
      <c r="E69" t="inlineStr">
        <is>
          <t>Story</t>
        </is>
      </c>
      <c r="F69" t="inlineStr">
        <is>
          <t>Ashish Temurnikar</t>
        </is>
      </c>
      <c r="G69" t="inlineStr">
        <is>
          <t>Done</t>
        </is>
      </c>
      <c r="H69" t="inlineStr"/>
      <c r="I69" t="inlineStr">
        <is>
          <t>P3</t>
        </is>
      </c>
      <c r="J69" s="29" t="n">
        <v>46050</v>
      </c>
      <c r="L69" s="29" t="n">
        <v>46051</v>
      </c>
      <c r="M69" t="inlineStr">
        <is>
          <t>sprint-Bertha</t>
        </is>
      </c>
      <c r="N69" s="11" t="n">
        <v>8</v>
      </c>
      <c r="O69" s="11" t="n">
        <v>6</v>
      </c>
      <c r="P69" t="inlineStr">
        <is>
          <t>FILTER</t>
        </is>
      </c>
      <c r="Q69" t="inlineStr"/>
      <c r="R69" t="inlineStr"/>
      <c r="S69" t="inlineStr"/>
    </row>
    <row r="70">
      <c r="A70" t="inlineStr">
        <is>
          <t>QA</t>
        </is>
      </c>
      <c r="B70" s="28" t="inlineStr">
        <is>
          <t>FILTER-11509</t>
        </is>
      </c>
      <c r="C70" s="20" t="inlineStr">
        <is>
          <t>Manual QA Validation: Verify Activity Log Consistency for Eaglercraft (US East2)</t>
        </is>
      </c>
      <c r="D70" t="inlineStr">
        <is>
          <t>FILTER-10069</t>
        </is>
      </c>
      <c r="E70" t="inlineStr">
        <is>
          <t>Escape Defect</t>
        </is>
      </c>
      <c r="F70" t="inlineStr">
        <is>
          <t>Ayesha Kamde</t>
        </is>
      </c>
      <c r="G70" t="inlineStr">
        <is>
          <t>Done</t>
        </is>
      </c>
      <c r="H70" t="inlineStr"/>
      <c r="I70" t="inlineStr">
        <is>
          <t>P3</t>
        </is>
      </c>
      <c r="J70" s="29" t="n">
        <v>46010</v>
      </c>
      <c r="L70" s="29" t="n">
        <v>46055</v>
      </c>
      <c r="M70" t="inlineStr">
        <is>
          <t>sprint-Bertha</t>
        </is>
      </c>
      <c r="N70" s="11" t="n">
        <v>2</v>
      </c>
      <c r="O70" s="11" t="n">
        <v>2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QA</t>
        </is>
      </c>
      <c r="B71" s="28" t="inlineStr">
        <is>
          <t>FILTER-11576</t>
        </is>
      </c>
      <c r="C71" s="20" t="inlineStr">
        <is>
          <t>Manual QA Validation: Broker Stability Audit &amp; Log Monitoring</t>
        </is>
      </c>
      <c r="D71" t="inlineStr">
        <is>
          <t>FILTER-11478</t>
        </is>
      </c>
      <c r="E71" t="inlineStr">
        <is>
          <t>Escape Defect</t>
        </is>
      </c>
      <c r="F71" t="inlineStr">
        <is>
          <t>Ayesha Kamde</t>
        </is>
      </c>
      <c r="G71" t="inlineStr">
        <is>
          <t>Done</t>
        </is>
      </c>
      <c r="H71" t="inlineStr"/>
      <c r="I71" t="inlineStr">
        <is>
          <t>P1</t>
        </is>
      </c>
      <c r="J71" s="29" t="n">
        <v>46027</v>
      </c>
      <c r="L71" s="29" t="n">
        <v>46031</v>
      </c>
      <c r="M71" t="inlineStr">
        <is>
          <t>sprint-Bertha</t>
        </is>
      </c>
      <c r="N71" s="11" t="n">
        <v>4</v>
      </c>
      <c r="O71" s="11" t="n">
        <v>4</v>
      </c>
      <c r="P71" t="inlineStr">
        <is>
          <t>FILTER</t>
        </is>
      </c>
      <c r="Q71" t="inlineStr"/>
      <c r="R71" t="inlineStr"/>
      <c r="S71" t="inlineStr"/>
    </row>
    <row r="72">
      <c r="A72" t="inlineStr">
        <is>
          <t>QA</t>
        </is>
      </c>
      <c r="B72" s="28" t="inlineStr">
        <is>
          <t>FILTER-11594</t>
        </is>
      </c>
      <c r="C72" s="20" t="inlineStr">
        <is>
          <t>QA - P1 Escalation-Copy &amp; Paste movie script into search bar breaks extension</t>
        </is>
      </c>
      <c r="D72" t="inlineStr">
        <is>
          <t>FILTER-11557</t>
        </is>
      </c>
      <c r="E72" t="inlineStr">
        <is>
          <t>Escape Defect</t>
        </is>
      </c>
      <c r="F72" t="inlineStr">
        <is>
          <t>Ayesha Kamde</t>
        </is>
      </c>
      <c r="G72" t="inlineStr">
        <is>
          <t>Done</t>
        </is>
      </c>
      <c r="H72" t="inlineStr"/>
      <c r="I72" t="inlineStr">
        <is>
          <t>P1</t>
        </is>
      </c>
      <c r="J72" s="29" t="n">
        <v>46028</v>
      </c>
      <c r="L72" s="29" t="n">
        <v>46052</v>
      </c>
      <c r="M72" t="inlineStr">
        <is>
          <t>sprint-Bertha</t>
        </is>
      </c>
      <c r="N72" s="11" t="n">
        <v>4</v>
      </c>
      <c r="O72" s="11" t="n">
        <v>3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QA</t>
        </is>
      </c>
      <c r="B73" s="28" t="inlineStr">
        <is>
          <t>FILTER-11733</t>
        </is>
      </c>
      <c r="C73" s="20" t="inlineStr">
        <is>
          <t>QA Validation to test hotfix is handling the deleted user case but isn't handling the disabled user case.</t>
        </is>
      </c>
      <c r="D73" t="inlineStr">
        <is>
          <t>FILTER-11707</t>
        </is>
      </c>
      <c r="E73" t="inlineStr">
        <is>
          <t>Task</t>
        </is>
      </c>
      <c r="F73" t="inlineStr">
        <is>
          <t>Ayesha Kamde</t>
        </is>
      </c>
      <c r="G73" t="inlineStr">
        <is>
          <t>Done</t>
        </is>
      </c>
      <c r="H73" t="inlineStr"/>
      <c r="I73" t="inlineStr">
        <is>
          <t>P0</t>
        </is>
      </c>
      <c r="J73" s="29" t="n">
        <v>46042</v>
      </c>
      <c r="L73" s="29" t="n">
        <v>46042</v>
      </c>
      <c r="M73" t="inlineStr">
        <is>
          <t>sprint-Bertha</t>
        </is>
      </c>
      <c r="N73" s="11" t="n">
        <v>4</v>
      </c>
      <c r="O73" s="11" t="n">
        <v>3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QA</t>
        </is>
      </c>
      <c r="B74" s="28" t="inlineStr">
        <is>
          <t>FILTER-11785</t>
        </is>
      </c>
      <c r="C74" s="20" t="inlineStr">
        <is>
          <t>QA task Check if archived users are not getting imported through OU import</t>
        </is>
      </c>
      <c r="D74" t="inlineStr">
        <is>
          <t>FILTER-11783</t>
        </is>
      </c>
      <c r="E74" t="inlineStr">
        <is>
          <t>Task</t>
        </is>
      </c>
      <c r="F74" t="inlineStr">
        <is>
          <t>Ayesha Kamde</t>
        </is>
      </c>
      <c r="G74" t="inlineStr">
        <is>
          <t>Done</t>
        </is>
      </c>
      <c r="H74" t="inlineStr"/>
      <c r="I74" t="inlineStr">
        <is>
          <t>P0</t>
        </is>
      </c>
      <c r="J74" s="29" t="n">
        <v>46045</v>
      </c>
      <c r="L74" s="29" t="n">
        <v>46045</v>
      </c>
      <c r="M74" t="inlineStr">
        <is>
          <t>sprint-Bertha</t>
        </is>
      </c>
      <c r="N74" s="11" t="n">
        <v>4</v>
      </c>
      <c r="O74" s="11" t="n">
        <v>3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QA</t>
        </is>
      </c>
      <c r="B75" s="28" t="inlineStr">
        <is>
          <t>FILTER-11786</t>
        </is>
      </c>
      <c r="C75" s="20" t="inlineStr">
        <is>
          <t>QA Validation task</t>
        </is>
      </c>
      <c r="D75" t="inlineStr">
        <is>
          <t>FILTER-11743</t>
        </is>
      </c>
      <c r="E75" t="inlineStr">
        <is>
          <t>Escape Defect</t>
        </is>
      </c>
      <c r="F75" t="inlineStr">
        <is>
          <t>Ayesha Kamde</t>
        </is>
      </c>
      <c r="G75" t="inlineStr">
        <is>
          <t>QA Verified</t>
        </is>
      </c>
      <c r="H75" t="inlineStr"/>
      <c r="I75" t="inlineStr">
        <is>
          <t>P3</t>
        </is>
      </c>
      <c r="J75" s="29" t="n">
        <v>46045</v>
      </c>
      <c r="L75" s="29" t="n">
        <v>46052</v>
      </c>
      <c r="M75" t="inlineStr">
        <is>
          <t>sprint-Bertha</t>
        </is>
      </c>
      <c r="N75" s="11" t="n">
        <v>6</v>
      </c>
      <c r="O75" s="11" t="n">
        <v>4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QA</t>
        </is>
      </c>
      <c r="B76" s="28" t="inlineStr">
        <is>
          <t>FILTER-11821</t>
        </is>
      </c>
      <c r="C76" s="20" t="inlineStr">
        <is>
          <t>Post release validation for FILTER-11783</t>
        </is>
      </c>
      <c r="D76" t="inlineStr">
        <is>
          <t>FILTER-11783</t>
        </is>
      </c>
      <c r="E76" t="inlineStr">
        <is>
          <t>Task</t>
        </is>
      </c>
      <c r="F76" t="inlineStr">
        <is>
          <t>Ayesha Kamde</t>
        </is>
      </c>
      <c r="G76" t="inlineStr">
        <is>
          <t>QA Verified</t>
        </is>
      </c>
      <c r="H76" t="inlineStr"/>
      <c r="I76" t="inlineStr">
        <is>
          <t>P3</t>
        </is>
      </c>
      <c r="J76" s="29" t="n">
        <v>46051</v>
      </c>
      <c r="L76" s="29" t="n">
        <v>46056</v>
      </c>
      <c r="M76" t="inlineStr">
        <is>
          <t>sprint-Bertha</t>
        </is>
      </c>
      <c r="N76" s="11" t="n">
        <v>4</v>
      </c>
      <c r="O76" s="11" t="n">
        <v>4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QA</t>
        </is>
      </c>
      <c r="B77" s="28" t="inlineStr">
        <is>
          <t>FILTER-11823</t>
        </is>
      </c>
      <c r="C77" s="20" t="inlineStr">
        <is>
          <t>Post release validation for FILTER-6563</t>
        </is>
      </c>
      <c r="D77" t="inlineStr">
        <is>
          <t>FILTER-11822</t>
        </is>
      </c>
      <c r="E77" t="inlineStr">
        <is>
          <t>Task</t>
        </is>
      </c>
      <c r="F77" t="inlineStr">
        <is>
          <t>Ayesha Kamde</t>
        </is>
      </c>
      <c r="G77" t="inlineStr">
        <is>
          <t>Done</t>
        </is>
      </c>
      <c r="H77" t="inlineStr"/>
      <c r="I77" t="inlineStr">
        <is>
          <t>P3</t>
        </is>
      </c>
      <c r="J77" s="29" t="n">
        <v>46051</v>
      </c>
      <c r="L77" s="29" t="n">
        <v>46051</v>
      </c>
      <c r="M77" t="inlineStr">
        <is>
          <t>sprint-Bertha</t>
        </is>
      </c>
      <c r="N77" s="11" t="n">
        <v>6</v>
      </c>
      <c r="O77" s="11" t="n">
        <v>10</v>
      </c>
      <c r="P77" t="inlineStr">
        <is>
          <t>FILTER</t>
        </is>
      </c>
      <c r="Q77" t="inlineStr"/>
      <c r="R77" t="inlineStr"/>
      <c r="S77" t="inlineStr"/>
    </row>
    <row r="78">
      <c r="A78" t="inlineStr">
        <is>
          <t>Task</t>
        </is>
      </c>
      <c r="B78" s="28" t="inlineStr">
        <is>
          <t>FDSE-140</t>
        </is>
      </c>
      <c r="C78" s="20" t="inlineStr">
        <is>
          <t>Implementation of Simple dropdown component with all the defined guidelines</t>
        </is>
      </c>
      <c r="D78" t="inlineStr">
        <is>
          <t>FDSE-139</t>
        </is>
      </c>
      <c r="E78" t="inlineStr">
        <is>
          <t>Epic</t>
        </is>
      </c>
      <c r="F78" t="inlineStr">
        <is>
          <t>Harshada Kude</t>
        </is>
      </c>
      <c r="G78" t="inlineStr">
        <is>
          <t>Resolved</t>
        </is>
      </c>
      <c r="H78" t="inlineStr">
        <is>
          <t>Fixed</t>
        </is>
      </c>
      <c r="I78" t="inlineStr">
        <is>
          <t>P3</t>
        </is>
      </c>
      <c r="J78" s="29" t="n">
        <v>46000</v>
      </c>
      <c r="K78" s="29" t="n">
        <v>46055</v>
      </c>
      <c r="L78" s="29" t="n">
        <v>46055</v>
      </c>
      <c r="M78" t="inlineStr">
        <is>
          <t>sprint-Bertha</t>
        </is>
      </c>
      <c r="N78" s="11" t="n">
        <v>38</v>
      </c>
      <c r="O78" s="11" t="n">
        <v>32</v>
      </c>
      <c r="P78" t="inlineStr">
        <is>
          <t>FDSE</t>
        </is>
      </c>
      <c r="Q78" t="inlineStr"/>
      <c r="R78" t="inlineStr"/>
      <c r="S78" t="inlineStr"/>
    </row>
    <row r="79">
      <c r="A79" t="inlineStr">
        <is>
          <t>Debug</t>
        </is>
      </c>
      <c r="B79" s="28" t="inlineStr">
        <is>
          <t>FILTER-11584</t>
        </is>
      </c>
      <c r="C79" s="20" t="inlineStr">
        <is>
          <t xml:space="preserve">Dev Task - [Dependabot issues]Upgrade jspdf-autotable npm library to latest version (5.0) </t>
        </is>
      </c>
      <c r="D79" t="inlineStr"/>
      <c r="E79" t="inlineStr"/>
      <c r="F79" t="inlineStr">
        <is>
          <t>Harshada Kude</t>
        </is>
      </c>
      <c r="G79" t="inlineStr">
        <is>
          <t>Closed</t>
        </is>
      </c>
      <c r="H79" t="inlineStr"/>
      <c r="I79" t="inlineStr">
        <is>
          <t>P3</t>
        </is>
      </c>
      <c r="J79" s="29" t="n">
        <v>46027</v>
      </c>
      <c r="L79" s="29" t="n">
        <v>46055</v>
      </c>
      <c r="M79" t="inlineStr">
        <is>
          <t>sprint-Bertha</t>
        </is>
      </c>
      <c r="N79" s="11" t="n">
        <v>12</v>
      </c>
      <c r="O79" s="11" t="n">
        <v>14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Dev</t>
        </is>
      </c>
      <c r="B80" s="28" t="inlineStr">
        <is>
          <t>FILTER-10854</t>
        </is>
      </c>
      <c r="C80" s="20" t="inlineStr">
        <is>
          <t>List of custom list (New API)</t>
        </is>
      </c>
      <c r="D80" t="inlineStr">
        <is>
          <t>FILTER-10835</t>
        </is>
      </c>
      <c r="E80" t="inlineStr">
        <is>
          <t>Story</t>
        </is>
      </c>
      <c r="F80" t="inlineStr">
        <is>
          <t>Prateek Fotedar</t>
        </is>
      </c>
      <c r="G80" t="inlineStr">
        <is>
          <t>Done</t>
        </is>
      </c>
      <c r="H80" t="inlineStr"/>
      <c r="I80" t="inlineStr">
        <is>
          <t>P3</t>
        </is>
      </c>
      <c r="J80" s="29" t="n">
        <v>45982</v>
      </c>
      <c r="L80" s="29" t="n">
        <v>46044</v>
      </c>
      <c r="M80" t="inlineStr">
        <is>
          <t>sprint-Bertha</t>
        </is>
      </c>
      <c r="N80" s="11" t="n">
        <v>7</v>
      </c>
      <c r="O80" s="11" t="n">
        <v>7</v>
      </c>
      <c r="P80" t="inlineStr">
        <is>
          <t>FILTER</t>
        </is>
      </c>
      <c r="Q80" t="inlineStr">
        <is>
          <t>Capitalized-Feature</t>
        </is>
      </c>
      <c r="R80" t="inlineStr"/>
      <c r="S80" t="inlineStr"/>
    </row>
    <row r="81">
      <c r="A81" t="inlineStr">
        <is>
          <t>Dev</t>
        </is>
      </c>
      <c r="B81" s="28" t="inlineStr">
        <is>
          <t>FILTER-10859</t>
        </is>
      </c>
      <c r="C81" s="20" t="inlineStr">
        <is>
          <t>Get Resources of Securly custom list (New API)</t>
        </is>
      </c>
      <c r="D81" t="inlineStr">
        <is>
          <t>FILTER-10835</t>
        </is>
      </c>
      <c r="E81" t="inlineStr">
        <is>
          <t>Story</t>
        </is>
      </c>
      <c r="F81" t="inlineStr">
        <is>
          <t>Prateek Fotedar</t>
        </is>
      </c>
      <c r="G81" t="inlineStr">
        <is>
          <t>Done</t>
        </is>
      </c>
      <c r="H81" t="inlineStr"/>
      <c r="I81" t="inlineStr">
        <is>
          <t>P3</t>
        </is>
      </c>
      <c r="J81" s="29" t="n">
        <v>45982</v>
      </c>
      <c r="L81" s="29" t="n">
        <v>46044</v>
      </c>
      <c r="M81" t="inlineStr">
        <is>
          <t>sprint-Bertha</t>
        </is>
      </c>
      <c r="N81" s="11" t="n">
        <v>6</v>
      </c>
      <c r="O81" s="11" t="n">
        <v>6</v>
      </c>
      <c r="P81" t="inlineStr">
        <is>
          <t>FILTER</t>
        </is>
      </c>
      <c r="Q81" t="inlineStr">
        <is>
          <t>Capitalized-Feature</t>
        </is>
      </c>
      <c r="R81" t="inlineStr"/>
      <c r="S81" t="inlineStr"/>
    </row>
    <row r="82">
      <c r="A82" t="inlineStr">
        <is>
          <t>Dev</t>
        </is>
      </c>
      <c r="B82" s="28" t="inlineStr">
        <is>
          <t>FILTER-10862</t>
        </is>
      </c>
      <c r="C82" s="20" t="inlineStr">
        <is>
          <t>Add/Update custom list (New API)</t>
        </is>
      </c>
      <c r="D82" t="inlineStr">
        <is>
          <t>FILTER-10835</t>
        </is>
      </c>
      <c r="E82" t="inlineStr">
        <is>
          <t>Story</t>
        </is>
      </c>
      <c r="F82" t="inlineStr">
        <is>
          <t>Prateek Fotedar</t>
        </is>
      </c>
      <c r="G82" t="inlineStr">
        <is>
          <t>Done</t>
        </is>
      </c>
      <c r="H82" t="inlineStr"/>
      <c r="I82" t="inlineStr">
        <is>
          <t>P3</t>
        </is>
      </c>
      <c r="J82" s="29" t="n">
        <v>45982</v>
      </c>
      <c r="L82" s="29" t="n">
        <v>46044</v>
      </c>
      <c r="M82" t="inlineStr">
        <is>
          <t>sprint-Bertha</t>
        </is>
      </c>
      <c r="N82" s="11" t="n">
        <v>4</v>
      </c>
      <c r="O82" s="11" t="n">
        <v>4</v>
      </c>
      <c r="P82" t="inlineStr">
        <is>
          <t>FILTER</t>
        </is>
      </c>
      <c r="Q82" t="inlineStr">
        <is>
          <t>Capitalized-Feature</t>
        </is>
      </c>
      <c r="R82" t="inlineStr"/>
      <c r="S82" t="inlineStr"/>
    </row>
    <row r="83">
      <c r="A83" t="inlineStr">
        <is>
          <t>Dev</t>
        </is>
      </c>
      <c r="B83" s="28" t="inlineStr">
        <is>
          <t>FILTER-10865</t>
        </is>
      </c>
      <c r="C83" s="20" t="inlineStr">
        <is>
          <t>Delete custom list (New API)</t>
        </is>
      </c>
      <c r="D83" t="inlineStr">
        <is>
          <t>FILTER-10835</t>
        </is>
      </c>
      <c r="E83" t="inlineStr">
        <is>
          <t>Story</t>
        </is>
      </c>
      <c r="F83" t="inlineStr">
        <is>
          <t>Prateek Fotedar</t>
        </is>
      </c>
      <c r="G83" t="inlineStr">
        <is>
          <t>Done</t>
        </is>
      </c>
      <c r="H83" t="inlineStr"/>
      <c r="I83" t="inlineStr">
        <is>
          <t>P3</t>
        </is>
      </c>
      <c r="J83" s="29" t="n">
        <v>45982</v>
      </c>
      <c r="L83" s="29" t="n">
        <v>46044</v>
      </c>
      <c r="M83" t="inlineStr">
        <is>
          <t>sprint-Bertha</t>
        </is>
      </c>
      <c r="N83" s="11" t="n">
        <v>4</v>
      </c>
      <c r="O83" s="11" t="n">
        <v>4</v>
      </c>
      <c r="P83" t="inlineStr">
        <is>
          <t>FILTER</t>
        </is>
      </c>
      <c r="Q83" t="inlineStr">
        <is>
          <t>Capitalized-Feature</t>
        </is>
      </c>
      <c r="R83" t="inlineStr"/>
      <c r="S83" t="inlineStr"/>
    </row>
    <row r="84">
      <c r="A84" t="inlineStr">
        <is>
          <t>Dev</t>
        </is>
      </c>
      <c r="B84" s="28" t="inlineStr">
        <is>
          <t>FILTER-10868</t>
        </is>
      </c>
      <c r="C84" s="20" t="inlineStr">
        <is>
          <t>How to Handle sycing Error</t>
        </is>
      </c>
      <c r="D84" t="inlineStr">
        <is>
          <t>FILTER-10835</t>
        </is>
      </c>
      <c r="E84" t="inlineStr">
        <is>
          <t>Story</t>
        </is>
      </c>
      <c r="F84" t="inlineStr">
        <is>
          <t>Prateek Fotedar</t>
        </is>
      </c>
      <c r="G84" t="inlineStr">
        <is>
          <t>Done</t>
        </is>
      </c>
      <c r="H84" t="inlineStr"/>
      <c r="I84" t="inlineStr">
        <is>
          <t>P3</t>
        </is>
      </c>
      <c r="J84" s="29" t="n">
        <v>45982</v>
      </c>
      <c r="L84" s="29" t="n">
        <v>46044</v>
      </c>
      <c r="M84" t="inlineStr">
        <is>
          <t>sprint-Bertha</t>
        </is>
      </c>
      <c r="N84" s="11" t="n">
        <v>7</v>
      </c>
      <c r="O84" s="11" t="n">
        <v>7</v>
      </c>
      <c r="P84" t="inlineStr">
        <is>
          <t>FILTER</t>
        </is>
      </c>
      <c r="Q84" t="inlineStr">
        <is>
          <t>Capitalized-Feature</t>
        </is>
      </c>
      <c r="R84" t="inlineStr"/>
      <c r="S84" t="inlineStr"/>
    </row>
    <row r="85">
      <c r="A85" t="inlineStr">
        <is>
          <t>Dev</t>
        </is>
      </c>
      <c r="B85" s="28" t="inlineStr">
        <is>
          <t>FILTER-10872</t>
        </is>
      </c>
      <c r="C85" s="20" t="inlineStr">
        <is>
          <t>Link polices to custom list in case of update</t>
        </is>
      </c>
      <c r="D85" t="inlineStr">
        <is>
          <t>FILTER-10871</t>
        </is>
      </c>
      <c r="E85" t="inlineStr">
        <is>
          <t>Story</t>
        </is>
      </c>
      <c r="F85" t="inlineStr">
        <is>
          <t>Prateek Fotedar</t>
        </is>
      </c>
      <c r="G85" t="inlineStr">
        <is>
          <t>Done</t>
        </is>
      </c>
      <c r="H85" t="inlineStr"/>
      <c r="I85" t="inlineStr">
        <is>
          <t>P3</t>
        </is>
      </c>
      <c r="J85" s="29" t="n">
        <v>45982</v>
      </c>
      <c r="L85" s="29" t="n">
        <v>46043</v>
      </c>
      <c r="M85" t="inlineStr">
        <is>
          <t>sprint-Bertha</t>
        </is>
      </c>
      <c r="N85" s="11" t="n">
        <v>8</v>
      </c>
      <c r="O85" s="11" t="n">
        <v>8</v>
      </c>
      <c r="P85" t="inlineStr">
        <is>
          <t>FILTER</t>
        </is>
      </c>
      <c r="Q85" t="inlineStr">
        <is>
          <t>Capitalized-Feature</t>
        </is>
      </c>
      <c r="R85" t="inlineStr"/>
      <c r="S85" t="inlineStr"/>
    </row>
    <row r="86">
      <c r="A86" t="inlineStr">
        <is>
          <t>Dev</t>
        </is>
      </c>
      <c r="B86" s="28" t="inlineStr">
        <is>
          <t>FILTER-10875</t>
        </is>
      </c>
      <c r="C86" s="20" t="inlineStr">
        <is>
          <t>Unlink polices to custom list in case of update</t>
        </is>
      </c>
      <c r="D86" t="inlineStr">
        <is>
          <t>FILTER-10871</t>
        </is>
      </c>
      <c r="E86" t="inlineStr">
        <is>
          <t>Story</t>
        </is>
      </c>
      <c r="F86" t="inlineStr">
        <is>
          <t>Prateek Fotedar</t>
        </is>
      </c>
      <c r="G86" t="inlineStr">
        <is>
          <t>Done</t>
        </is>
      </c>
      <c r="H86" t="inlineStr"/>
      <c r="I86" t="inlineStr">
        <is>
          <t>P3</t>
        </is>
      </c>
      <c r="J86" s="29" t="n">
        <v>45982</v>
      </c>
      <c r="L86" s="29" t="n">
        <v>46043</v>
      </c>
      <c r="M86" t="inlineStr">
        <is>
          <t>sprint-Bertha</t>
        </is>
      </c>
      <c r="N86" s="11" t="n">
        <v>8</v>
      </c>
      <c r="O86" s="11" t="n">
        <v>8</v>
      </c>
      <c r="P86" t="inlineStr">
        <is>
          <t>FILTER</t>
        </is>
      </c>
      <c r="Q86" t="inlineStr">
        <is>
          <t>Capitalized-Feature</t>
        </is>
      </c>
      <c r="R86" t="inlineStr"/>
      <c r="S86" t="inlineStr"/>
    </row>
    <row r="87">
      <c r="A87" t="inlineStr">
        <is>
          <t>Dev</t>
        </is>
      </c>
      <c r="B87" s="28" t="inlineStr">
        <is>
          <t>FILTER-10882</t>
        </is>
      </c>
      <c r="C87" s="20" t="inlineStr">
        <is>
          <t>List of Policies (Might be existing API or New API)</t>
        </is>
      </c>
      <c r="D87" t="inlineStr">
        <is>
          <t>FILTER-10878</t>
        </is>
      </c>
      <c r="E87" t="inlineStr">
        <is>
          <t>Story</t>
        </is>
      </c>
      <c r="F87" t="inlineStr">
        <is>
          <t>Prateek Fotedar</t>
        </is>
      </c>
      <c r="G87" t="inlineStr">
        <is>
          <t>Done</t>
        </is>
      </c>
      <c r="H87" t="inlineStr"/>
      <c r="I87" t="inlineStr">
        <is>
          <t>P3</t>
        </is>
      </c>
      <c r="J87" s="29" t="n">
        <v>45982</v>
      </c>
      <c r="L87" s="29" t="n">
        <v>46043</v>
      </c>
      <c r="M87" t="inlineStr">
        <is>
          <t>sprint-Bertha</t>
        </is>
      </c>
      <c r="N87" s="11" t="n">
        <v>7</v>
      </c>
      <c r="O87" s="11" t="n">
        <v>8</v>
      </c>
      <c r="P87" t="inlineStr">
        <is>
          <t>FILTER</t>
        </is>
      </c>
      <c r="Q87" t="inlineStr">
        <is>
          <t>Capitalized-Feature</t>
        </is>
      </c>
      <c r="R87" t="inlineStr"/>
      <c r="S87" t="inlineStr"/>
    </row>
    <row r="88">
      <c r="A88" t="inlineStr">
        <is>
          <t>Dev</t>
        </is>
      </c>
      <c r="B88" s="28" t="inlineStr">
        <is>
          <t>FILTER-11075</t>
        </is>
      </c>
      <c r="C88" s="20" t="inlineStr">
        <is>
          <t>Add resource in custom list (New API)</t>
        </is>
      </c>
      <c r="D88" t="inlineStr">
        <is>
          <t>FILTER-11074</t>
        </is>
      </c>
      <c r="E88" t="inlineStr">
        <is>
          <t>Story</t>
        </is>
      </c>
      <c r="F88" t="inlineStr">
        <is>
          <t>Prateek Fotedar</t>
        </is>
      </c>
      <c r="G88" t="inlineStr">
        <is>
          <t>Done</t>
        </is>
      </c>
      <c r="H88" t="inlineStr"/>
      <c r="I88" t="inlineStr">
        <is>
          <t>P3</t>
        </is>
      </c>
      <c r="J88" s="29" t="n">
        <v>45992</v>
      </c>
      <c r="L88" s="29" t="n">
        <v>46043</v>
      </c>
      <c r="M88" t="inlineStr">
        <is>
          <t>sprint-Bertha</t>
        </is>
      </c>
      <c r="N88" s="11" t="n">
        <v>8</v>
      </c>
      <c r="O88" s="11" t="n">
        <v>8</v>
      </c>
      <c r="P88" t="inlineStr">
        <is>
          <t>FILTER</t>
        </is>
      </c>
      <c r="Q88" t="inlineStr">
        <is>
          <t>Capitalized-Feature</t>
        </is>
      </c>
      <c r="R88" t="inlineStr"/>
      <c r="S88" t="inlineStr"/>
    </row>
    <row r="89">
      <c r="A89" t="inlineStr">
        <is>
          <t>Dev</t>
        </is>
      </c>
      <c r="B89" s="28" t="inlineStr">
        <is>
          <t>FILTER-11078</t>
        </is>
      </c>
      <c r="C89" s="20" t="inlineStr">
        <is>
          <t>Update resource of custom list (New API)</t>
        </is>
      </c>
      <c r="D89" t="inlineStr">
        <is>
          <t>FILTER-11074</t>
        </is>
      </c>
      <c r="E89" t="inlineStr">
        <is>
          <t>Story</t>
        </is>
      </c>
      <c r="F89" t="inlineStr">
        <is>
          <t>Prateek Fotedar</t>
        </is>
      </c>
      <c r="G89" t="inlineStr">
        <is>
          <t>Done</t>
        </is>
      </c>
      <c r="H89" t="inlineStr"/>
      <c r="I89" t="inlineStr">
        <is>
          <t>P3</t>
        </is>
      </c>
      <c r="J89" s="29" t="n">
        <v>45992</v>
      </c>
      <c r="L89" s="29" t="n">
        <v>46043</v>
      </c>
      <c r="M89" t="inlineStr">
        <is>
          <t>sprint-Bertha</t>
        </is>
      </c>
      <c r="N89" s="11" t="n">
        <v>10</v>
      </c>
      <c r="O89" s="11" t="n">
        <v>10</v>
      </c>
      <c r="P89" t="inlineStr">
        <is>
          <t>FILTER</t>
        </is>
      </c>
      <c r="Q89" t="inlineStr">
        <is>
          <t>Capitalized-Feature</t>
        </is>
      </c>
      <c r="R89" t="inlineStr"/>
      <c r="S89" t="inlineStr"/>
    </row>
    <row r="90">
      <c r="A90" t="inlineStr">
        <is>
          <t>Dev</t>
        </is>
      </c>
      <c r="B90" s="28" t="inlineStr">
        <is>
          <t>FILTER-11081</t>
        </is>
      </c>
      <c r="C90" s="20" t="inlineStr">
        <is>
          <t>New Feature | Delete resource or resource note from custom list (New API)</t>
        </is>
      </c>
      <c r="D90" t="inlineStr">
        <is>
          <t>FILTER-11074</t>
        </is>
      </c>
      <c r="E90" t="inlineStr">
        <is>
          <t>Story</t>
        </is>
      </c>
      <c r="F90" t="inlineStr">
        <is>
          <t>Prateek Fotedar</t>
        </is>
      </c>
      <c r="G90" t="inlineStr">
        <is>
          <t>Done</t>
        </is>
      </c>
      <c r="H90" t="inlineStr"/>
      <c r="I90" t="inlineStr">
        <is>
          <t>P3</t>
        </is>
      </c>
      <c r="J90" s="29" t="n">
        <v>45992</v>
      </c>
      <c r="L90" s="29" t="n">
        <v>46043</v>
      </c>
      <c r="M90" t="inlineStr">
        <is>
          <t>sprint-Bertha</t>
        </is>
      </c>
      <c r="N90" s="11" t="n">
        <v>14</v>
      </c>
      <c r="O90" s="11" t="n">
        <v>14</v>
      </c>
      <c r="P90" t="inlineStr">
        <is>
          <t>FILTER</t>
        </is>
      </c>
      <c r="Q90" t="inlineStr">
        <is>
          <t>Capitalized-Feature</t>
        </is>
      </c>
      <c r="R90" t="inlineStr"/>
      <c r="S90" t="inlineStr"/>
    </row>
    <row r="91">
      <c r="A91" t="inlineStr">
        <is>
          <t>Dev</t>
        </is>
      </c>
      <c r="B91" s="28" t="inlineStr">
        <is>
          <t>FILTER-11084</t>
        </is>
      </c>
      <c r="C91" s="20" t="inlineStr">
        <is>
          <t>New Feature | Clone Custom list (New API)</t>
        </is>
      </c>
      <c r="D91" t="inlineStr">
        <is>
          <t>FILTER-11074</t>
        </is>
      </c>
      <c r="E91" t="inlineStr">
        <is>
          <t>Story</t>
        </is>
      </c>
      <c r="F91" t="inlineStr">
        <is>
          <t>Prateek Fotedar</t>
        </is>
      </c>
      <c r="G91" t="inlineStr">
        <is>
          <t>Done</t>
        </is>
      </c>
      <c r="H91" t="inlineStr"/>
      <c r="I91" t="inlineStr">
        <is>
          <t>P3</t>
        </is>
      </c>
      <c r="J91" s="29" t="n">
        <v>45992</v>
      </c>
      <c r="L91" s="29" t="n">
        <v>46043</v>
      </c>
      <c r="M91" t="inlineStr">
        <is>
          <t>sprint-Bertha</t>
        </is>
      </c>
      <c r="N91" s="11" t="n">
        <v>14</v>
      </c>
      <c r="O91" s="11" t="n">
        <v>14</v>
      </c>
      <c r="P91" t="inlineStr">
        <is>
          <t>FILTER</t>
        </is>
      </c>
      <c r="Q91" t="inlineStr">
        <is>
          <t>Capitalized-Feature</t>
        </is>
      </c>
      <c r="R91" t="inlineStr"/>
      <c r="S91" t="inlineStr"/>
    </row>
    <row r="92">
      <c r="A92" t="inlineStr">
        <is>
          <t>Dev</t>
        </is>
      </c>
      <c r="B92" s="28" t="inlineStr">
        <is>
          <t>FILTER-11683</t>
        </is>
      </c>
      <c r="C92" s="20" t="inlineStr">
        <is>
          <t>Investigate and fix 400 Bad Request error in PUT /api/custom-list/resource API</t>
        </is>
      </c>
      <c r="D92" t="inlineStr">
        <is>
          <t>FILTER-11678</t>
        </is>
      </c>
      <c r="E92" t="inlineStr">
        <is>
          <t>Defect</t>
        </is>
      </c>
      <c r="F92" t="inlineStr">
        <is>
          <t>Prateek Fotedar</t>
        </is>
      </c>
      <c r="G92" t="inlineStr">
        <is>
          <t>Closed without action</t>
        </is>
      </c>
      <c r="H92" t="inlineStr"/>
      <c r="I92" t="inlineStr">
        <is>
          <t>P0</t>
        </is>
      </c>
      <c r="J92" s="29" t="n">
        <v>46038</v>
      </c>
      <c r="L92" s="29" t="n">
        <v>46038</v>
      </c>
      <c r="M92" t="inlineStr">
        <is>
          <t>sprint-Bertha</t>
        </is>
      </c>
      <c r="N92" s="11" t="n">
        <v>1.5</v>
      </c>
      <c r="O92" s="11" t="n">
        <v>1.5</v>
      </c>
      <c r="P92" t="inlineStr">
        <is>
          <t>FILTER</t>
        </is>
      </c>
      <c r="Q92" t="inlineStr"/>
      <c r="R92" t="inlineStr"/>
      <c r="S92" t="inlineStr"/>
    </row>
    <row r="93">
      <c r="A93" t="inlineStr">
        <is>
          <t>Dev</t>
        </is>
      </c>
      <c r="B93" s="28" t="inlineStr">
        <is>
          <t>FILTER-11699</t>
        </is>
      </c>
      <c r="C93" s="20" t="inlineStr">
        <is>
          <t xml:space="preserve">Fix issues for custom list </t>
        </is>
      </c>
      <c r="D93" t="inlineStr">
        <is>
          <t>FILTER-11689</t>
        </is>
      </c>
      <c r="E93" t="inlineStr">
        <is>
          <t>Defect</t>
        </is>
      </c>
      <c r="F93" t="inlineStr">
        <is>
          <t>Prateek Fotedar</t>
        </is>
      </c>
      <c r="G93" t="inlineStr">
        <is>
          <t>Done</t>
        </is>
      </c>
      <c r="H93" t="inlineStr"/>
      <c r="I93" t="inlineStr">
        <is>
          <t>P1</t>
        </is>
      </c>
      <c r="J93" s="29" t="n">
        <v>46041</v>
      </c>
      <c r="L93" s="29" t="n">
        <v>46065</v>
      </c>
      <c r="M93" t="inlineStr">
        <is>
          <t>sprint-Bertha</t>
        </is>
      </c>
      <c r="N93" s="11" t="n">
        <v>5</v>
      </c>
      <c r="O93" s="11" t="n">
        <v>5</v>
      </c>
      <c r="P93" t="inlineStr">
        <is>
          <t>FILTER</t>
        </is>
      </c>
      <c r="Q93" t="inlineStr">
        <is>
          <t>Capitalized-Feature</t>
        </is>
      </c>
      <c r="R93" t="inlineStr"/>
      <c r="S93" t="inlineStr"/>
    </row>
    <row r="94">
      <c r="A94" t="inlineStr">
        <is>
          <t>Dev</t>
        </is>
      </c>
      <c r="B94" s="28" t="inlineStr">
        <is>
          <t>FILTER-11703</t>
        </is>
      </c>
      <c r="C94" s="20" t="inlineStr">
        <is>
          <t>Investigate and fix API logic to prevent linking the same custom list to the same policy with both ALLOW and BLOCK association types</t>
        </is>
      </c>
      <c r="D94" t="inlineStr">
        <is>
          <t>FILTER-11690</t>
        </is>
      </c>
      <c r="E94" t="inlineStr">
        <is>
          <t>Defect</t>
        </is>
      </c>
      <c r="F94" t="inlineStr">
        <is>
          <t>Prateek Fotedar</t>
        </is>
      </c>
      <c r="G94" t="inlineStr">
        <is>
          <t>Done</t>
        </is>
      </c>
      <c r="H94" t="inlineStr"/>
      <c r="I94" t="inlineStr">
        <is>
          <t>P1</t>
        </is>
      </c>
      <c r="J94" s="29" t="n">
        <v>46041</v>
      </c>
      <c r="L94" s="29" t="n">
        <v>46065</v>
      </c>
      <c r="M94" t="inlineStr">
        <is>
          <t>sprint-Bertha</t>
        </is>
      </c>
      <c r="N94" s="11" t="n">
        <v>2</v>
      </c>
      <c r="O94" s="11" t="n">
        <v>2</v>
      </c>
      <c r="P94" t="inlineStr">
        <is>
          <t>FILTER</t>
        </is>
      </c>
      <c r="Q94" t="inlineStr">
        <is>
          <t>Capitalized-Feature</t>
        </is>
      </c>
      <c r="R94" t="inlineStr"/>
      <c r="S94" t="inlineStr"/>
    </row>
    <row r="95">
      <c r="A95" t="inlineStr">
        <is>
          <t>Task</t>
        </is>
      </c>
      <c r="B95" s="28" t="inlineStr">
        <is>
          <t>FILTER-10743</t>
        </is>
      </c>
      <c r="C95" s="20" t="inlineStr">
        <is>
          <t>[sprox] main.rs module separation part-2</t>
        </is>
      </c>
      <c r="D95" t="inlineStr">
        <is>
          <t>FILTER-8230</t>
        </is>
      </c>
      <c r="E95" t="inlineStr">
        <is>
          <t>Epic</t>
        </is>
      </c>
      <c r="F95" t="inlineStr">
        <is>
          <t>Pratik Tiwari</t>
        </is>
      </c>
      <c r="G95" t="inlineStr">
        <is>
          <t>Closed</t>
        </is>
      </c>
      <c r="H95" t="inlineStr"/>
      <c r="I95" t="inlineStr">
        <is>
          <t>P2</t>
        </is>
      </c>
      <c r="J95" s="29" t="n">
        <v>45971</v>
      </c>
      <c r="L95" s="29" t="n">
        <v>46128</v>
      </c>
      <c r="M95" t="inlineStr">
        <is>
          <t>sprint-Bertha</t>
        </is>
      </c>
      <c r="N95" s="11" t="n">
        <v>0</v>
      </c>
      <c r="O95" s="11" t="n">
        <v>10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Dev</t>
        </is>
      </c>
      <c r="B96" s="28" t="inlineStr">
        <is>
          <t>FILTER-11351</t>
        </is>
      </c>
      <c r="C96" s="20" t="inlineStr">
        <is>
          <t>[sprox] main.rs module separation part-2</t>
        </is>
      </c>
      <c r="D96" t="inlineStr">
        <is>
          <t>FILTER-10743</t>
        </is>
      </c>
      <c r="E96" t="inlineStr">
        <is>
          <t>Task</t>
        </is>
      </c>
      <c r="F96" t="inlineStr">
        <is>
          <t>Pratik Tiwari</t>
        </is>
      </c>
      <c r="G96" t="inlineStr">
        <is>
          <t>Closed without action</t>
        </is>
      </c>
      <c r="H96" t="inlineStr"/>
      <c r="I96" t="inlineStr">
        <is>
          <t>P3</t>
        </is>
      </c>
      <c r="J96" s="29" t="n">
        <v>45999</v>
      </c>
      <c r="L96" s="29" t="n">
        <v>46048</v>
      </c>
      <c r="M96" t="inlineStr">
        <is>
          <t>sprint-Bertha</t>
        </is>
      </c>
      <c r="N96" s="11" t="n">
        <v>0</v>
      </c>
      <c r="O96" s="11" t="n">
        <v>8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Dev</t>
        </is>
      </c>
      <c r="B97" s="28" t="inlineStr">
        <is>
          <t>FILTER-11384</t>
        </is>
      </c>
      <c r="C97" s="20" t="inlineStr">
        <is>
          <t>Fix CRXTN/YouTube Stuck Overlay in Fail Open Mode</t>
        </is>
      </c>
      <c r="D97" t="inlineStr">
        <is>
          <t>FILTER-10842</t>
        </is>
      </c>
      <c r="E97" t="inlineStr">
        <is>
          <t>Defect</t>
        </is>
      </c>
      <c r="F97" t="inlineStr">
        <is>
          <t>Pratik Tiwari</t>
        </is>
      </c>
      <c r="G97" t="inlineStr">
        <is>
          <t>Closed without action</t>
        </is>
      </c>
      <c r="H97" t="inlineStr"/>
      <c r="I97" t="inlineStr">
        <is>
          <t>P1</t>
        </is>
      </c>
      <c r="J97" s="29" t="n">
        <v>46000</v>
      </c>
      <c r="L97" s="29" t="n">
        <v>46033</v>
      </c>
      <c r="M97" t="inlineStr">
        <is>
          <t>sprint-Bertha</t>
        </is>
      </c>
      <c r="N97" s="11" t="n">
        <v>0</v>
      </c>
      <c r="O97" s="11" t="n">
        <v>12</v>
      </c>
      <c r="P97" t="inlineStr">
        <is>
          <t>FILTER</t>
        </is>
      </c>
      <c r="Q97" t="inlineStr"/>
      <c r="R97" t="inlineStr"/>
      <c r="S97" t="inlineStr"/>
    </row>
    <row r="98">
      <c r="A98" t="inlineStr">
        <is>
          <t>Dev</t>
        </is>
      </c>
      <c r="B98" s="28" t="inlineStr">
        <is>
          <t>FILTER-11466</t>
        </is>
      </c>
      <c r="C98" s="20" t="inlineStr">
        <is>
          <t>Dev Task for Backmerge to TS Extension FILTER-8535</t>
        </is>
      </c>
      <c r="D98" t="inlineStr">
        <is>
          <t>FILTER-11465</t>
        </is>
      </c>
      <c r="E98" t="inlineStr">
        <is>
          <t>Task</t>
        </is>
      </c>
      <c r="F98" t="inlineStr">
        <is>
          <t>Pratik Tiwari</t>
        </is>
      </c>
      <c r="G98" t="inlineStr">
        <is>
          <t>Closed without action</t>
        </is>
      </c>
      <c r="H98" t="inlineStr"/>
      <c r="I98" t="inlineStr">
        <is>
          <t>P3</t>
        </is>
      </c>
      <c r="J98" s="29" t="n">
        <v>46009</v>
      </c>
      <c r="L98" s="29" t="n">
        <v>46038</v>
      </c>
      <c r="M98" t="inlineStr">
        <is>
          <t>sprint-Bertha</t>
        </is>
      </c>
      <c r="N98" s="11" t="n">
        <v>0</v>
      </c>
      <c r="O98" s="11" t="n">
        <v>6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Dev</t>
        </is>
      </c>
      <c r="B99" s="28" t="inlineStr">
        <is>
          <t>FILTER-11591</t>
        </is>
      </c>
      <c r="C99" s="20" t="inlineStr">
        <is>
          <t>unwrap handling in main.rs</t>
        </is>
      </c>
      <c r="D99" t="inlineStr">
        <is>
          <t>FILTER-11590</t>
        </is>
      </c>
      <c r="E99" t="inlineStr">
        <is>
          <t>Task</t>
        </is>
      </c>
      <c r="F99" t="inlineStr">
        <is>
          <t>Pratik Tiwari</t>
        </is>
      </c>
      <c r="G99" t="inlineStr">
        <is>
          <t>Done</t>
        </is>
      </c>
      <c r="H99" t="inlineStr"/>
      <c r="I99" t="inlineStr">
        <is>
          <t>P3</t>
        </is>
      </c>
      <c r="J99" s="29" t="n">
        <v>46027</v>
      </c>
      <c r="L99" s="29" t="n">
        <v>46056</v>
      </c>
      <c r="M99" t="inlineStr">
        <is>
          <t>sprint-Bertha</t>
        </is>
      </c>
      <c r="N99" s="11" t="n">
        <v>8</v>
      </c>
      <c r="O99" s="11" t="n">
        <v>8</v>
      </c>
      <c r="P99" t="inlineStr">
        <is>
          <t>FILTER</t>
        </is>
      </c>
      <c r="Q99" t="inlineStr"/>
      <c r="R99" t="inlineStr"/>
      <c r="S99" t="inlineStr"/>
    </row>
    <row r="100">
      <c r="A100" t="inlineStr">
        <is>
          <t>Dev</t>
        </is>
      </c>
      <c r="B100" s="28" t="inlineStr">
        <is>
          <t>FILTER-11593</t>
        </is>
      </c>
      <c r="C100" s="20" t="inlineStr">
        <is>
          <t>P1 Escalation-Copy &amp; Paste movie script into search bar breaks extension</t>
        </is>
      </c>
      <c r="D100" t="inlineStr">
        <is>
          <t>FILTER-11557</t>
        </is>
      </c>
      <c r="E100" t="inlineStr">
        <is>
          <t>Escape Defect</t>
        </is>
      </c>
      <c r="F100" t="inlineStr">
        <is>
          <t>Pratik Tiwari</t>
        </is>
      </c>
      <c r="G100" t="inlineStr">
        <is>
          <t>Done</t>
        </is>
      </c>
      <c r="H100" t="inlineStr"/>
      <c r="I100" t="inlineStr">
        <is>
          <t>P1</t>
        </is>
      </c>
      <c r="J100" s="29" t="n">
        <v>46028</v>
      </c>
      <c r="L100" s="29" t="n">
        <v>46050</v>
      </c>
      <c r="M100" t="inlineStr">
        <is>
          <t>sprint-Bertha</t>
        </is>
      </c>
      <c r="N100" s="11" t="n">
        <v>16</v>
      </c>
      <c r="O100" s="11" t="n">
        <v>12</v>
      </c>
      <c r="P100" t="inlineStr">
        <is>
          <t>FILTER</t>
        </is>
      </c>
      <c r="Q100" t="inlineStr"/>
      <c r="R100" t="inlineStr"/>
      <c r="S100" t="inlineStr"/>
    </row>
    <row r="101">
      <c r="A101" t="inlineStr">
        <is>
          <t>Task</t>
        </is>
      </c>
      <c r="B101" s="28" t="inlineStr">
        <is>
          <t>FILTER-11714</t>
        </is>
      </c>
      <c r="C101" s="20" t="inlineStr">
        <is>
          <t>[sprox] Implementation of Github action &amp; workflow decisions</t>
        </is>
      </c>
      <c r="D101" t="inlineStr">
        <is>
          <t>FILTER-8230</t>
        </is>
      </c>
      <c r="E101" t="inlineStr">
        <is>
          <t>Epic</t>
        </is>
      </c>
      <c r="F101" t="inlineStr">
        <is>
          <t>Pratik Tiwari</t>
        </is>
      </c>
      <c r="G101" t="inlineStr">
        <is>
          <t>Closed</t>
        </is>
      </c>
      <c r="H101" t="inlineStr"/>
      <c r="I101" t="inlineStr">
        <is>
          <t>P3</t>
        </is>
      </c>
      <c r="J101" s="29" t="n">
        <v>46041</v>
      </c>
      <c r="L101" s="29" t="n">
        <v>46056</v>
      </c>
      <c r="M101" t="inlineStr">
        <is>
          <t>sprint-Bertha</t>
        </is>
      </c>
      <c r="N101" s="11" t="n">
        <v>8</v>
      </c>
      <c r="O101" s="11" t="n">
        <v>8</v>
      </c>
      <c r="P101" t="inlineStr">
        <is>
          <t>FILTER</t>
        </is>
      </c>
      <c r="Q101" t="inlineStr"/>
      <c r="R101" t="inlineStr"/>
      <c r="S101" t="inlineStr"/>
    </row>
    <row r="102">
      <c r="A102" t="inlineStr">
        <is>
          <t>Dev</t>
        </is>
      </c>
      <c r="B102" s="28" t="inlineStr">
        <is>
          <t>FILTER-11721</t>
        </is>
      </c>
      <c r="C102" s="20" t="inlineStr">
        <is>
          <t>[sprox] Implementation of Github action &amp; workflow decisions</t>
        </is>
      </c>
      <c r="D102" t="inlineStr">
        <is>
          <t>FILTER-11714</t>
        </is>
      </c>
      <c r="E102" t="inlineStr">
        <is>
          <t>Task</t>
        </is>
      </c>
      <c r="F102" t="inlineStr">
        <is>
          <t>Pratik Tiwari</t>
        </is>
      </c>
      <c r="G102" t="inlineStr">
        <is>
          <t>Done</t>
        </is>
      </c>
      <c r="H102" t="inlineStr"/>
      <c r="I102" t="inlineStr">
        <is>
          <t>P3</t>
        </is>
      </c>
      <c r="J102" s="29" t="n">
        <v>46041</v>
      </c>
      <c r="L102" s="29" t="n">
        <v>46056</v>
      </c>
      <c r="M102" t="inlineStr">
        <is>
          <t>sprint-Bertha</t>
        </is>
      </c>
      <c r="N102" s="11" t="n">
        <v>8</v>
      </c>
      <c r="O102" s="11" t="n">
        <v>8</v>
      </c>
      <c r="P102" t="inlineStr">
        <is>
          <t>FILTER</t>
        </is>
      </c>
      <c r="Q102" t="inlineStr"/>
      <c r="R102" t="inlineStr"/>
      <c r="S102" t="inlineStr"/>
    </row>
    <row r="103">
      <c r="A103" t="inlineStr">
        <is>
          <t>Automation</t>
        </is>
      </c>
      <c r="B103" s="28" t="inlineStr">
        <is>
          <t>FILTER-10880</t>
        </is>
      </c>
      <c r="C103" s="20" t="inlineStr">
        <is>
          <t>New Feature | Add custom list (New API)</t>
        </is>
      </c>
      <c r="D103" t="inlineStr">
        <is>
          <t>FILTER-10878</t>
        </is>
      </c>
      <c r="E103" t="inlineStr">
        <is>
          <t>Story</t>
        </is>
      </c>
      <c r="F103" t="inlineStr">
        <is>
          <t>Rachit Mishra</t>
        </is>
      </c>
      <c r="G103" t="inlineStr">
        <is>
          <t>Done</t>
        </is>
      </c>
      <c r="H103" t="inlineStr"/>
      <c r="I103" t="inlineStr">
        <is>
          <t>P3</t>
        </is>
      </c>
      <c r="J103" s="29" t="n">
        <v>45982</v>
      </c>
      <c r="L103" s="29" t="n">
        <v>46043</v>
      </c>
      <c r="M103" t="inlineStr">
        <is>
          <t>sprint-Bertha</t>
        </is>
      </c>
      <c r="N103" s="11" t="n">
        <v>7.5</v>
      </c>
      <c r="O103" s="11" t="n">
        <v>8</v>
      </c>
      <c r="P103" t="inlineStr">
        <is>
          <t>FILTER</t>
        </is>
      </c>
      <c r="Q103" t="inlineStr">
        <is>
          <t>Capitalized-Feature</t>
        </is>
      </c>
      <c r="R103" t="inlineStr"/>
      <c r="S103" t="inlineStr"/>
    </row>
    <row r="104">
      <c r="A104" t="inlineStr">
        <is>
          <t>Automation</t>
        </is>
      </c>
      <c r="B104" s="28" t="inlineStr">
        <is>
          <t>FILTER-10886</t>
        </is>
      </c>
      <c r="C104" s="20" t="inlineStr">
        <is>
          <t>New Feature | Get custom list Details (New API)</t>
        </is>
      </c>
      <c r="D104" t="inlineStr">
        <is>
          <t>FILTER-10878</t>
        </is>
      </c>
      <c r="E104" t="inlineStr">
        <is>
          <t>Story</t>
        </is>
      </c>
      <c r="F104" t="inlineStr">
        <is>
          <t>Rachit Mishra</t>
        </is>
      </c>
      <c r="G104" t="inlineStr">
        <is>
          <t>Done</t>
        </is>
      </c>
      <c r="H104" t="inlineStr"/>
      <c r="I104" t="inlineStr">
        <is>
          <t>P3</t>
        </is>
      </c>
      <c r="J104" s="29" t="n">
        <v>45982</v>
      </c>
      <c r="L104" s="29" t="n">
        <v>46043</v>
      </c>
      <c r="M104" t="inlineStr">
        <is>
          <t>sprint-Bertha</t>
        </is>
      </c>
      <c r="N104" s="11" t="n">
        <v>7</v>
      </c>
      <c r="O104" s="11" t="n">
        <v>8</v>
      </c>
      <c r="P104" t="inlineStr">
        <is>
          <t>FILTER</t>
        </is>
      </c>
      <c r="Q104" t="inlineStr">
        <is>
          <t>Capitalized-Feature</t>
        </is>
      </c>
      <c r="R104" t="inlineStr"/>
      <c r="S104" t="inlineStr"/>
    </row>
    <row r="105">
      <c r="A105" t="inlineStr">
        <is>
          <t>Automation</t>
        </is>
      </c>
      <c r="B105" s="28" t="inlineStr">
        <is>
          <t>FILTER-10889</t>
        </is>
      </c>
      <c r="C105" s="20" t="inlineStr">
        <is>
          <t>New Feature | Get custom list Resources (New API)</t>
        </is>
      </c>
      <c r="D105" t="inlineStr">
        <is>
          <t>FILTER-10878</t>
        </is>
      </c>
      <c r="E105" t="inlineStr">
        <is>
          <t>Story</t>
        </is>
      </c>
      <c r="F105" t="inlineStr">
        <is>
          <t>Rachit Mishra</t>
        </is>
      </c>
      <c r="G105" t="inlineStr">
        <is>
          <t>Done</t>
        </is>
      </c>
      <c r="H105" t="inlineStr"/>
      <c r="I105" t="inlineStr">
        <is>
          <t>P3</t>
        </is>
      </c>
      <c r="J105" s="29" t="n">
        <v>45982</v>
      </c>
      <c r="L105" s="29" t="n">
        <v>46043</v>
      </c>
      <c r="M105" t="inlineStr">
        <is>
          <t>sprint-Bertha</t>
        </is>
      </c>
      <c r="N105" s="11" t="n">
        <v>5</v>
      </c>
      <c r="O105" s="11" t="n">
        <v>6</v>
      </c>
      <c r="P105" t="inlineStr">
        <is>
          <t>FILTER</t>
        </is>
      </c>
      <c r="Q105" t="inlineStr">
        <is>
          <t>Capitalized-Feature</t>
        </is>
      </c>
      <c r="R105" t="inlineStr"/>
      <c r="S105" t="inlineStr"/>
    </row>
    <row r="106">
      <c r="A106" t="inlineStr">
        <is>
          <t>Automation</t>
        </is>
      </c>
      <c r="B106" s="28" t="inlineStr">
        <is>
          <t>FILTER-10895</t>
        </is>
      </c>
      <c r="C106" s="20" t="inlineStr">
        <is>
          <t>New Feature | Update Custom List (New API)</t>
        </is>
      </c>
      <c r="D106" t="inlineStr">
        <is>
          <t>FILTER-10878</t>
        </is>
      </c>
      <c r="E106" t="inlineStr">
        <is>
          <t>Story</t>
        </is>
      </c>
      <c r="F106" t="inlineStr">
        <is>
          <t>Rachit Mishra</t>
        </is>
      </c>
      <c r="G106" t="inlineStr">
        <is>
          <t>Done</t>
        </is>
      </c>
      <c r="H106" t="inlineStr"/>
      <c r="I106" t="inlineStr">
        <is>
          <t>P3</t>
        </is>
      </c>
      <c r="J106" s="29" t="n">
        <v>45982</v>
      </c>
      <c r="L106" s="29" t="n">
        <v>46043</v>
      </c>
      <c r="M106" t="inlineStr">
        <is>
          <t>sprint-Bertha</t>
        </is>
      </c>
      <c r="N106" s="11" t="n">
        <v>8</v>
      </c>
      <c r="O106" s="11" t="n">
        <v>7</v>
      </c>
      <c r="P106" t="inlineStr">
        <is>
          <t>FILTER</t>
        </is>
      </c>
      <c r="Q106" t="inlineStr">
        <is>
          <t>Capitalized-Feature</t>
        </is>
      </c>
      <c r="R106" t="inlineStr"/>
      <c r="S106" t="inlineStr"/>
    </row>
    <row r="107">
      <c r="A107" t="inlineStr">
        <is>
          <t>Automation</t>
        </is>
      </c>
      <c r="B107" s="28" t="inlineStr">
        <is>
          <t>FILTER-10898</t>
        </is>
      </c>
      <c r="C107" s="20" t="inlineStr">
        <is>
          <t>New Feature | Delete Custom List (New API)</t>
        </is>
      </c>
      <c r="D107" t="inlineStr">
        <is>
          <t>FILTER-10878</t>
        </is>
      </c>
      <c r="E107" t="inlineStr">
        <is>
          <t>Story</t>
        </is>
      </c>
      <c r="F107" t="inlineStr">
        <is>
          <t>Rachit Mishra</t>
        </is>
      </c>
      <c r="G107" t="inlineStr">
        <is>
          <t>Done</t>
        </is>
      </c>
      <c r="H107" t="inlineStr"/>
      <c r="I107" t="inlineStr">
        <is>
          <t>P3</t>
        </is>
      </c>
      <c r="J107" s="29" t="n">
        <v>45982</v>
      </c>
      <c r="L107" s="29" t="n">
        <v>46043</v>
      </c>
      <c r="M107" t="inlineStr">
        <is>
          <t>sprint-Bertha</t>
        </is>
      </c>
      <c r="N107" s="11" t="n">
        <v>6.5</v>
      </c>
      <c r="O107" s="11" t="n">
        <v>7</v>
      </c>
      <c r="P107" t="inlineStr">
        <is>
          <t>FILTER</t>
        </is>
      </c>
      <c r="Q107" t="inlineStr">
        <is>
          <t>Capitalized-Feature</t>
        </is>
      </c>
      <c r="R107" t="inlineStr"/>
      <c r="S107" t="inlineStr"/>
    </row>
    <row r="108">
      <c r="A108" t="inlineStr">
        <is>
          <t>Automation</t>
        </is>
      </c>
      <c r="B108" s="28" t="inlineStr">
        <is>
          <t>FILTER-11508</t>
        </is>
      </c>
      <c r="C108" s="20" t="inlineStr">
        <is>
          <t>Automated E2E Regression: Validate Log Status for Blocked PAC Domains</t>
        </is>
      </c>
      <c r="D108" t="inlineStr">
        <is>
          <t>FILTER-10069</t>
        </is>
      </c>
      <c r="E108" t="inlineStr">
        <is>
          <t>Escape Defect</t>
        </is>
      </c>
      <c r="F108" t="inlineStr">
        <is>
          <t>Rachit Mishra</t>
        </is>
      </c>
      <c r="G108" t="inlineStr">
        <is>
          <t>Done</t>
        </is>
      </c>
      <c r="H108" t="inlineStr"/>
      <c r="I108" t="inlineStr">
        <is>
          <t>P3</t>
        </is>
      </c>
      <c r="J108" s="29" t="n">
        <v>46010</v>
      </c>
      <c r="L108" s="29" t="n">
        <v>46056</v>
      </c>
      <c r="M108" t="inlineStr">
        <is>
          <t>sprint-Bertha</t>
        </is>
      </c>
      <c r="N108" s="11" t="n">
        <v>3</v>
      </c>
      <c r="O108" s="11" t="n">
        <v>6</v>
      </c>
      <c r="P108" t="inlineStr">
        <is>
          <t>FILTER</t>
        </is>
      </c>
      <c r="Q108" t="inlineStr"/>
      <c r="R108" t="inlineStr"/>
      <c r="S108" t="inlineStr"/>
    </row>
    <row r="109">
      <c r="A109" t="inlineStr">
        <is>
          <t>Automation</t>
        </is>
      </c>
      <c r="B109" s="28" t="inlineStr">
        <is>
          <t>FILTER-11728</t>
        </is>
      </c>
      <c r="C109" s="20" t="inlineStr">
        <is>
          <t>Unplanned Automation execution request during the sprint-Bertha</t>
        </is>
      </c>
      <c r="D109" t="inlineStr">
        <is>
          <t>FILTER-11727</t>
        </is>
      </c>
      <c r="E109" t="inlineStr">
        <is>
          <t>Task</t>
        </is>
      </c>
      <c r="F109" t="inlineStr">
        <is>
          <t>Rachit Mishra</t>
        </is>
      </c>
      <c r="G109" t="inlineStr">
        <is>
          <t>Done</t>
        </is>
      </c>
      <c r="H109" t="inlineStr"/>
      <c r="I109" t="inlineStr">
        <is>
          <t>P3</t>
        </is>
      </c>
      <c r="J109" s="29" t="n">
        <v>46042</v>
      </c>
      <c r="L109" s="29" t="n">
        <v>46048</v>
      </c>
      <c r="M109" t="inlineStr">
        <is>
          <t>sprint-Bertha</t>
        </is>
      </c>
      <c r="N109" s="11" t="n">
        <v>5</v>
      </c>
      <c r="O109" s="11" t="n">
        <v>5</v>
      </c>
      <c r="P109" t="inlineStr">
        <is>
          <t>FILTER</t>
        </is>
      </c>
      <c r="Q109" t="inlineStr"/>
      <c r="R109" t="inlineStr"/>
      <c r="S109" t="inlineStr"/>
    </row>
    <row r="110">
      <c r="A110" t="inlineStr">
        <is>
          <t>Automation</t>
        </is>
      </c>
      <c r="B110" s="28" t="inlineStr">
        <is>
          <t>FILTER-11729</t>
        </is>
      </c>
      <c r="C110" s="20" t="inlineStr">
        <is>
          <t>Unplanned automation execution request during the sprint-Bertha</t>
        </is>
      </c>
      <c r="D110" t="inlineStr">
        <is>
          <t>FILTER-11727</t>
        </is>
      </c>
      <c r="E110" t="inlineStr">
        <is>
          <t>Task</t>
        </is>
      </c>
      <c r="F110" t="inlineStr">
        <is>
          <t>Rachit Mishra</t>
        </is>
      </c>
      <c r="G110" t="inlineStr">
        <is>
          <t>Done</t>
        </is>
      </c>
      <c r="H110" t="inlineStr"/>
      <c r="I110" t="inlineStr">
        <is>
          <t>P3</t>
        </is>
      </c>
      <c r="J110" s="29" t="n">
        <v>46042</v>
      </c>
      <c r="L110" s="29" t="n">
        <v>46051</v>
      </c>
      <c r="M110" t="inlineStr">
        <is>
          <t>sprint-Bertha</t>
        </is>
      </c>
      <c r="N110" s="11" t="n">
        <v>5</v>
      </c>
      <c r="O110" s="11" t="n">
        <v>6</v>
      </c>
      <c r="P110" t="inlineStr">
        <is>
          <t>FILTER</t>
        </is>
      </c>
      <c r="Q110" t="inlineStr"/>
      <c r="R110" t="inlineStr"/>
      <c r="S110" t="inlineStr"/>
    </row>
    <row r="111">
      <c r="A111" t="inlineStr">
        <is>
          <t>QA</t>
        </is>
      </c>
      <c r="B111" s="28" t="inlineStr">
        <is>
          <t>FILTER-11746</t>
        </is>
      </c>
      <c r="C111" s="20" t="inlineStr">
        <is>
          <t>Fix UA parsing errors for valid UAs</t>
        </is>
      </c>
      <c r="D111" t="inlineStr">
        <is>
          <t>FILTER-11685</t>
        </is>
      </c>
      <c r="E111" t="inlineStr">
        <is>
          <t>Escape Defect</t>
        </is>
      </c>
      <c r="F111" t="inlineStr">
        <is>
          <t>Rachit Mishra</t>
        </is>
      </c>
      <c r="G111" t="inlineStr">
        <is>
          <t>Done</t>
        </is>
      </c>
      <c r="H111" t="inlineStr"/>
      <c r="I111" t="inlineStr">
        <is>
          <t>P1</t>
        </is>
      </c>
      <c r="J111" s="29" t="n">
        <v>46042</v>
      </c>
      <c r="L111" s="29" t="n">
        <v>46051</v>
      </c>
      <c r="M111" t="inlineStr">
        <is>
          <t>sprint-Bertha</t>
        </is>
      </c>
      <c r="N111" s="11" t="n">
        <v>1</v>
      </c>
      <c r="O111" s="11" t="n">
        <v>1</v>
      </c>
      <c r="P111" t="inlineStr">
        <is>
          <t>FILTER</t>
        </is>
      </c>
      <c r="Q111" t="inlineStr"/>
      <c r="R111" t="inlineStr"/>
      <c r="S111" t="inlineStr"/>
    </row>
    <row r="112">
      <c r="A112" t="inlineStr">
        <is>
          <t>Dev</t>
        </is>
      </c>
      <c r="B112" s="28" t="inlineStr">
        <is>
          <t>FILTER-11573</t>
        </is>
      </c>
      <c r="C112" s="20" t="inlineStr">
        <is>
          <t>[sprox] Function translation to sprox - Part 3</t>
        </is>
      </c>
      <c r="D112" t="inlineStr">
        <is>
          <t>FILTER-11592</t>
        </is>
      </c>
      <c r="E112" t="inlineStr">
        <is>
          <t>Task</t>
        </is>
      </c>
      <c r="F112" t="inlineStr">
        <is>
          <t>Ravi Raj</t>
        </is>
      </c>
      <c r="G112" t="inlineStr">
        <is>
          <t>Done</t>
        </is>
      </c>
      <c r="H112" t="inlineStr"/>
      <c r="I112" t="inlineStr">
        <is>
          <t>P3</t>
        </is>
      </c>
      <c r="J112" s="29" t="n">
        <v>46026</v>
      </c>
      <c r="L112" s="29" t="n">
        <v>46055</v>
      </c>
      <c r="M112" t="inlineStr">
        <is>
          <t>sprint-Bertha</t>
        </is>
      </c>
      <c r="N112" s="11" t="n">
        <v>24</v>
      </c>
      <c r="O112" s="11" t="n">
        <v>16</v>
      </c>
      <c r="P112" t="inlineStr">
        <is>
          <t>FILTER</t>
        </is>
      </c>
      <c r="Q112" t="inlineStr"/>
      <c r="R112" t="inlineStr"/>
      <c r="S112" t="inlineStr"/>
    </row>
    <row r="113">
      <c r="A113" t="inlineStr">
        <is>
          <t>Task</t>
        </is>
      </c>
      <c r="B113" s="28" t="inlineStr">
        <is>
          <t>FILTER-11592</t>
        </is>
      </c>
      <c r="C113" s="20" t="inlineStr">
        <is>
          <t>[sprox] Function translation to sprox - Part 3</t>
        </is>
      </c>
      <c r="D113" t="inlineStr"/>
      <c r="E113" t="inlineStr"/>
      <c r="F113" t="inlineStr">
        <is>
          <t>Ravi Raj</t>
        </is>
      </c>
      <c r="G113" t="inlineStr">
        <is>
          <t>Closed</t>
        </is>
      </c>
      <c r="H113" t="inlineStr"/>
      <c r="I113" t="inlineStr">
        <is>
          <t>P2</t>
        </is>
      </c>
      <c r="J113" s="29" t="n">
        <v>46027</v>
      </c>
      <c r="L113" s="29" t="n">
        <v>46128</v>
      </c>
      <c r="M113" t="inlineStr">
        <is>
          <t>sprint-Bertha</t>
        </is>
      </c>
      <c r="N113" s="11" t="n">
        <v>24</v>
      </c>
      <c r="O113" s="11" t="n">
        <v>1</v>
      </c>
      <c r="P113" t="inlineStr">
        <is>
          <t>FILTER</t>
        </is>
      </c>
      <c r="Q113" t="inlineStr"/>
      <c r="R113" t="inlineStr"/>
      <c r="S113" t="inlineStr"/>
    </row>
    <row r="114">
      <c r="A114" t="inlineStr">
        <is>
          <t>Task</t>
        </is>
      </c>
      <c r="B114" s="28" t="inlineStr">
        <is>
          <t>FILTER-11716</t>
        </is>
      </c>
      <c r="C114" s="20" t="inlineStr">
        <is>
          <t>[sprox] Broker &amp; Blocked redirection implementation with interpret header call</t>
        </is>
      </c>
      <c r="D114" t="inlineStr">
        <is>
          <t>FILTER-8230</t>
        </is>
      </c>
      <c r="E114" t="inlineStr">
        <is>
          <t>Epic</t>
        </is>
      </c>
      <c r="F114" t="inlineStr">
        <is>
          <t>Ravi Raj</t>
        </is>
      </c>
      <c r="G114" t="inlineStr">
        <is>
          <t>Closed</t>
        </is>
      </c>
      <c r="H114" t="inlineStr"/>
      <c r="I114" t="inlineStr">
        <is>
          <t>P3</t>
        </is>
      </c>
      <c r="J114" s="29" t="n">
        <v>46041</v>
      </c>
      <c r="L114" s="29" t="n">
        <v>46055</v>
      </c>
      <c r="M114" t="inlineStr">
        <is>
          <t>sprint-Bertha</t>
        </is>
      </c>
      <c r="N114" s="11" t="n">
        <v>20</v>
      </c>
      <c r="O114" s="11" t="n">
        <v>1</v>
      </c>
      <c r="P114" t="inlineStr">
        <is>
          <t>FILTER</t>
        </is>
      </c>
      <c r="Q114" t="inlineStr">
        <is>
          <t>unplanned-sprint</t>
        </is>
      </c>
      <c r="R114" t="inlineStr"/>
      <c r="S114" t="inlineStr"/>
    </row>
    <row r="115">
      <c r="A115" t="inlineStr">
        <is>
          <t>Dev</t>
        </is>
      </c>
      <c r="B115" s="28" t="inlineStr">
        <is>
          <t>FILTER-11719</t>
        </is>
      </c>
      <c r="C115" s="20" t="inlineStr">
        <is>
          <t>[sprox] Broker &amp; Blocked redirection implementation with interpret header call</t>
        </is>
      </c>
      <c r="D115" t="inlineStr">
        <is>
          <t>FILTER-11716</t>
        </is>
      </c>
      <c r="E115" t="inlineStr">
        <is>
          <t>Task</t>
        </is>
      </c>
      <c r="F115" t="inlineStr">
        <is>
          <t>Ravi Raj</t>
        </is>
      </c>
      <c r="G115" t="inlineStr">
        <is>
          <t>Done</t>
        </is>
      </c>
      <c r="H115" t="inlineStr"/>
      <c r="I115" t="inlineStr">
        <is>
          <t>P3</t>
        </is>
      </c>
      <c r="J115" s="29" t="n">
        <v>46041</v>
      </c>
      <c r="L115" s="29" t="n">
        <v>46055</v>
      </c>
      <c r="M115" t="inlineStr">
        <is>
          <t>sprint-Bertha</t>
        </is>
      </c>
      <c r="N115" s="11" t="n">
        <v>20</v>
      </c>
      <c r="O115" s="11" t="n">
        <v>16</v>
      </c>
      <c r="P115" t="inlineStr">
        <is>
          <t>FILTER</t>
        </is>
      </c>
      <c r="Q115" t="inlineStr"/>
      <c r="R115" t="inlineStr"/>
      <c r="S115" t="inlineStr"/>
    </row>
    <row r="116">
      <c r="A116" t="inlineStr">
        <is>
          <t>Dev</t>
        </is>
      </c>
      <c r="B116" s="28" t="inlineStr">
        <is>
          <t>FILTER-10879</t>
        </is>
      </c>
      <c r="C116" s="20" t="inlineStr">
        <is>
          <t>Add custom list (New API)</t>
        </is>
      </c>
      <c r="D116" t="inlineStr">
        <is>
          <t>FILTER-10878</t>
        </is>
      </c>
      <c r="E116" t="inlineStr">
        <is>
          <t>Story</t>
        </is>
      </c>
      <c r="F116" t="inlineStr">
        <is>
          <t>Sagar Satpute</t>
        </is>
      </c>
      <c r="G116" t="inlineStr">
        <is>
          <t>Done</t>
        </is>
      </c>
      <c r="H116" t="inlineStr"/>
      <c r="I116" t="inlineStr">
        <is>
          <t>P3</t>
        </is>
      </c>
      <c r="J116" s="29" t="n">
        <v>45982</v>
      </c>
      <c r="L116" s="29" t="n">
        <v>46043</v>
      </c>
      <c r="M116" t="inlineStr">
        <is>
          <t>sprint-Bertha</t>
        </is>
      </c>
      <c r="N116" s="11" t="n">
        <v>28</v>
      </c>
      <c r="O116" s="11" t="n">
        <v>24</v>
      </c>
      <c r="P116" t="inlineStr">
        <is>
          <t>FILTER</t>
        </is>
      </c>
      <c r="Q116" t="inlineStr">
        <is>
          <t>Capitalized-Feature</t>
        </is>
      </c>
      <c r="R116" t="inlineStr"/>
      <c r="S116" t="inlineStr"/>
    </row>
    <row r="117">
      <c r="A117" t="inlineStr">
        <is>
          <t>Dev</t>
        </is>
      </c>
      <c r="B117" s="28" t="inlineStr">
        <is>
          <t>FILTER-10885</t>
        </is>
      </c>
      <c r="C117" s="20" t="inlineStr">
        <is>
          <t>Get custom list Details (New API)</t>
        </is>
      </c>
      <c r="D117" t="inlineStr">
        <is>
          <t>FILTER-10878</t>
        </is>
      </c>
      <c r="E117" t="inlineStr">
        <is>
          <t>Story</t>
        </is>
      </c>
      <c r="F117" t="inlineStr">
        <is>
          <t>Sagar Satpute</t>
        </is>
      </c>
      <c r="G117" t="inlineStr">
        <is>
          <t>Done</t>
        </is>
      </c>
      <c r="H117" t="inlineStr"/>
      <c r="I117" t="inlineStr">
        <is>
          <t>P3</t>
        </is>
      </c>
      <c r="J117" s="29" t="n">
        <v>45982</v>
      </c>
      <c r="L117" s="29" t="n">
        <v>46043</v>
      </c>
      <c r="M117" t="inlineStr">
        <is>
          <t>sprint-Bertha</t>
        </is>
      </c>
      <c r="N117" s="11" t="n">
        <v>0</v>
      </c>
      <c r="O117" s="11" t="n">
        <v>8</v>
      </c>
      <c r="P117" t="inlineStr">
        <is>
          <t>FILTER</t>
        </is>
      </c>
      <c r="Q117" t="inlineStr">
        <is>
          <t>Capitalized-Feature</t>
        </is>
      </c>
      <c r="R117" t="inlineStr"/>
      <c r="S117" t="inlineStr"/>
    </row>
    <row r="118">
      <c r="A118" t="inlineStr">
        <is>
          <t>Dev</t>
        </is>
      </c>
      <c r="B118" s="28" t="inlineStr">
        <is>
          <t>FILTER-10888</t>
        </is>
      </c>
      <c r="C118" s="20" t="inlineStr">
        <is>
          <t>Get custom list Resources (New API)</t>
        </is>
      </c>
      <c r="D118" t="inlineStr">
        <is>
          <t>FILTER-10878</t>
        </is>
      </c>
      <c r="E118" t="inlineStr">
        <is>
          <t>Story</t>
        </is>
      </c>
      <c r="F118" t="inlineStr">
        <is>
          <t>Sagar Satpute</t>
        </is>
      </c>
      <c r="G118" t="inlineStr">
        <is>
          <t>Done</t>
        </is>
      </c>
      <c r="H118" t="inlineStr"/>
      <c r="I118" t="inlineStr">
        <is>
          <t>P3</t>
        </is>
      </c>
      <c r="J118" s="29" t="n">
        <v>45982</v>
      </c>
      <c r="L118" s="29" t="n">
        <v>46043</v>
      </c>
      <c r="M118" t="inlineStr">
        <is>
          <t>sprint-Bertha</t>
        </is>
      </c>
      <c r="N118" s="11" t="n">
        <v>5</v>
      </c>
      <c r="O118" s="11" t="n">
        <v>8</v>
      </c>
      <c r="P118" t="inlineStr">
        <is>
          <t>FILTER</t>
        </is>
      </c>
      <c r="Q118" t="inlineStr">
        <is>
          <t>Capitalized-Feature</t>
        </is>
      </c>
      <c r="R118" t="inlineStr"/>
      <c r="S118" t="inlineStr"/>
    </row>
    <row r="119">
      <c r="A119" t="inlineStr">
        <is>
          <t>Dev</t>
        </is>
      </c>
      <c r="B119" s="28" t="inlineStr">
        <is>
          <t>FILTER-10891</t>
        </is>
      </c>
      <c r="C119" s="20" t="inlineStr">
        <is>
          <t>Get custom list Association (New API)</t>
        </is>
      </c>
      <c r="D119" t="inlineStr">
        <is>
          <t>FILTER-10878</t>
        </is>
      </c>
      <c r="E119" t="inlineStr">
        <is>
          <t>Story</t>
        </is>
      </c>
      <c r="F119" t="inlineStr">
        <is>
          <t>Sagar Satpute</t>
        </is>
      </c>
      <c r="G119" t="inlineStr">
        <is>
          <t>Done</t>
        </is>
      </c>
      <c r="H119" t="inlineStr"/>
      <c r="I119" t="inlineStr">
        <is>
          <t>P3</t>
        </is>
      </c>
      <c r="J119" s="29" t="n">
        <v>45982</v>
      </c>
      <c r="L119" s="29" t="n">
        <v>46043</v>
      </c>
      <c r="M119" t="inlineStr">
        <is>
          <t>sprint-Bertha</t>
        </is>
      </c>
      <c r="N119" s="11" t="n">
        <v>12</v>
      </c>
      <c r="O119" s="11" t="n">
        <v>8</v>
      </c>
      <c r="P119" t="inlineStr">
        <is>
          <t>FILTER</t>
        </is>
      </c>
      <c r="Q119" t="inlineStr">
        <is>
          <t>Capitalized-Feature</t>
        </is>
      </c>
      <c r="R119" t="inlineStr"/>
      <c r="S119" t="inlineStr"/>
    </row>
    <row r="120">
      <c r="A120" t="inlineStr">
        <is>
          <t>Dev</t>
        </is>
      </c>
      <c r="B120" s="28" t="inlineStr">
        <is>
          <t>FILTER-10894</t>
        </is>
      </c>
      <c r="C120" s="20" t="inlineStr">
        <is>
          <t>Update Custom List (New API)</t>
        </is>
      </c>
      <c r="D120" t="inlineStr">
        <is>
          <t>FILTER-10878</t>
        </is>
      </c>
      <c r="E120" t="inlineStr">
        <is>
          <t>Story</t>
        </is>
      </c>
      <c r="F120" t="inlineStr">
        <is>
          <t>Sagar Satpute</t>
        </is>
      </c>
      <c r="G120" t="inlineStr">
        <is>
          <t>Done</t>
        </is>
      </c>
      <c r="H120" t="inlineStr"/>
      <c r="I120" t="inlineStr">
        <is>
          <t>P3</t>
        </is>
      </c>
      <c r="J120" s="29" t="n">
        <v>45982</v>
      </c>
      <c r="L120" s="29" t="n">
        <v>46043</v>
      </c>
      <c r="M120" t="inlineStr">
        <is>
          <t>sprint-Bertha</t>
        </is>
      </c>
      <c r="N120" s="11" t="n">
        <v>20</v>
      </c>
      <c r="O120" s="11" t="n">
        <v>16</v>
      </c>
      <c r="P120" t="inlineStr">
        <is>
          <t>FILTER</t>
        </is>
      </c>
      <c r="Q120" t="inlineStr">
        <is>
          <t>Capitalized-Feature</t>
        </is>
      </c>
      <c r="R120" t="inlineStr"/>
      <c r="S120" t="inlineStr"/>
    </row>
    <row r="121">
      <c r="A121" t="inlineStr">
        <is>
          <t>Dev</t>
        </is>
      </c>
      <c r="B121" s="28" t="inlineStr">
        <is>
          <t>FILTER-10897</t>
        </is>
      </c>
      <c r="C121" s="20" t="inlineStr">
        <is>
          <t>Delete Custom List (New API)</t>
        </is>
      </c>
      <c r="D121" t="inlineStr">
        <is>
          <t>FILTER-10878</t>
        </is>
      </c>
      <c r="E121" t="inlineStr">
        <is>
          <t>Story</t>
        </is>
      </c>
      <c r="F121" t="inlineStr">
        <is>
          <t>Sagar Satpute</t>
        </is>
      </c>
      <c r="G121" t="inlineStr">
        <is>
          <t>Done</t>
        </is>
      </c>
      <c r="H121" t="inlineStr"/>
      <c r="I121" t="inlineStr">
        <is>
          <t>P3</t>
        </is>
      </c>
      <c r="J121" s="29" t="n">
        <v>45982</v>
      </c>
      <c r="L121" s="29" t="n">
        <v>46043</v>
      </c>
      <c r="M121" t="inlineStr">
        <is>
          <t>sprint-Bertha</t>
        </is>
      </c>
      <c r="N121" s="11" t="n">
        <v>20</v>
      </c>
      <c r="O121" s="11" t="n">
        <v>16</v>
      </c>
      <c r="P121" t="inlineStr">
        <is>
          <t>FILTER</t>
        </is>
      </c>
      <c r="Q121" t="inlineStr">
        <is>
          <t>Capitalized-Feature</t>
        </is>
      </c>
      <c r="R121" t="inlineStr"/>
      <c r="S121" t="inlineStr"/>
    </row>
    <row r="122">
      <c r="A122" t="inlineStr">
        <is>
          <t>Dev</t>
        </is>
      </c>
      <c r="B122" s="28" t="inlineStr">
        <is>
          <t>FILTER-11088</t>
        </is>
      </c>
      <c r="C122" s="20" t="inlineStr">
        <is>
          <t>Local Custom Lists (FID-specific)</t>
        </is>
      </c>
      <c r="D122" t="inlineStr">
        <is>
          <t>FILTER-11087</t>
        </is>
      </c>
      <c r="E122" t="inlineStr">
        <is>
          <t>Story</t>
        </is>
      </c>
      <c r="F122" t="inlineStr">
        <is>
          <t>Sagar Satpute</t>
        </is>
      </c>
      <c r="G122" t="inlineStr">
        <is>
          <t>Done</t>
        </is>
      </c>
      <c r="H122" t="inlineStr"/>
      <c r="I122" t="inlineStr">
        <is>
          <t>P3</t>
        </is>
      </c>
      <c r="J122" s="29" t="n">
        <v>45992</v>
      </c>
      <c r="L122" s="29" t="n">
        <v>46043</v>
      </c>
      <c r="M122" t="inlineStr">
        <is>
          <t>sprint-Bertha</t>
        </is>
      </c>
      <c r="N122" s="11" t="n">
        <v>1</v>
      </c>
      <c r="O122" s="11" t="n">
        <v>1</v>
      </c>
      <c r="P122" t="inlineStr">
        <is>
          <t>FILTER</t>
        </is>
      </c>
      <c r="Q122" t="inlineStr">
        <is>
          <t>Capitalized-Feature</t>
        </is>
      </c>
      <c r="R122" t="inlineStr"/>
      <c r="S122" t="inlineStr"/>
    </row>
    <row r="123">
      <c r="A123" t="inlineStr">
        <is>
          <t>Dev</t>
        </is>
      </c>
      <c r="B123" s="28" t="inlineStr">
        <is>
          <t>FILTER-11091</t>
        </is>
      </c>
      <c r="C123" s="20" t="inlineStr">
        <is>
          <t>Global Custom Lists (Shared Across FIDs)</t>
        </is>
      </c>
      <c r="D123" t="inlineStr">
        <is>
          <t>FILTER-11087</t>
        </is>
      </c>
      <c r="E123" t="inlineStr">
        <is>
          <t>Story</t>
        </is>
      </c>
      <c r="F123" t="inlineStr">
        <is>
          <t>Sagar Satpute</t>
        </is>
      </c>
      <c r="G123" t="inlineStr">
        <is>
          <t>Done</t>
        </is>
      </c>
      <c r="H123" t="inlineStr"/>
      <c r="I123" t="inlineStr">
        <is>
          <t>P3</t>
        </is>
      </c>
      <c r="J123" s="29" t="n">
        <v>45992</v>
      </c>
      <c r="L123" s="29" t="n">
        <v>46043</v>
      </c>
      <c r="M123" t="inlineStr">
        <is>
          <t>sprint-Bertha</t>
        </is>
      </c>
      <c r="N123" s="11" t="n">
        <v>1</v>
      </c>
      <c r="O123" s="11" t="n">
        <v>1</v>
      </c>
      <c r="P123" t="inlineStr">
        <is>
          <t>FILTER</t>
        </is>
      </c>
      <c r="Q123" t="inlineStr">
        <is>
          <t>Capitalized-Feature</t>
        </is>
      </c>
      <c r="R123" t="inlineStr"/>
      <c r="S123" t="inlineStr"/>
    </row>
    <row r="124">
      <c r="A124" t="inlineStr">
        <is>
          <t>Dev</t>
        </is>
      </c>
      <c r="B124" s="28" t="inlineStr">
        <is>
          <t>FILTER-11099</t>
        </is>
      </c>
      <c r="C124" s="20" t="inlineStr">
        <is>
          <t>List of custom list (New API)</t>
        </is>
      </c>
      <c r="D124" t="inlineStr">
        <is>
          <t>FILTER-11098</t>
        </is>
      </c>
      <c r="E124" t="inlineStr">
        <is>
          <t>Story</t>
        </is>
      </c>
      <c r="F124" t="inlineStr">
        <is>
          <t>Sagar Satpute</t>
        </is>
      </c>
      <c r="G124" t="inlineStr">
        <is>
          <t>Done</t>
        </is>
      </c>
      <c r="H124" t="inlineStr"/>
      <c r="I124" t="inlineStr">
        <is>
          <t>P3</t>
        </is>
      </c>
      <c r="J124" s="29" t="n">
        <v>45992</v>
      </c>
      <c r="L124" s="29" t="n">
        <v>46043</v>
      </c>
      <c r="M124" t="inlineStr">
        <is>
          <t>sprint-Bertha</t>
        </is>
      </c>
      <c r="N124" s="11" t="n">
        <v>8</v>
      </c>
      <c r="O124" s="11" t="n">
        <v>8</v>
      </c>
      <c r="P124" t="inlineStr">
        <is>
          <t>FILTER</t>
        </is>
      </c>
      <c r="Q124" t="inlineStr">
        <is>
          <t>Capitalized-Feature</t>
        </is>
      </c>
      <c r="R124" t="inlineStr"/>
      <c r="S124" t="inlineStr"/>
    </row>
    <row r="125">
      <c r="A125" t="inlineStr">
        <is>
          <t>Dev</t>
        </is>
      </c>
      <c r="B125" s="28" t="inlineStr">
        <is>
          <t>FILTER-11102</t>
        </is>
      </c>
      <c r="C125" s="20" t="inlineStr">
        <is>
          <t>View the details of custom list</t>
        </is>
      </c>
      <c r="D125" t="inlineStr">
        <is>
          <t>FILTER-11098</t>
        </is>
      </c>
      <c r="E125" t="inlineStr">
        <is>
          <t>Story</t>
        </is>
      </c>
      <c r="F125" t="inlineStr">
        <is>
          <t>Sagar Satpute</t>
        </is>
      </c>
      <c r="G125" t="inlineStr">
        <is>
          <t>Done</t>
        </is>
      </c>
      <c r="H125" t="inlineStr"/>
      <c r="I125" t="inlineStr">
        <is>
          <t>P3</t>
        </is>
      </c>
      <c r="J125" s="29" t="n">
        <v>45992</v>
      </c>
      <c r="L125" s="29" t="n">
        <v>46043</v>
      </c>
      <c r="M125" t="inlineStr">
        <is>
          <t>sprint-Bertha</t>
        </is>
      </c>
      <c r="N125" s="11" t="n">
        <v>0</v>
      </c>
      <c r="O125" s="11" t="n">
        <v>8</v>
      </c>
      <c r="P125" t="inlineStr">
        <is>
          <t>FILTER</t>
        </is>
      </c>
      <c r="Q125" t="inlineStr">
        <is>
          <t>Capitalized-Feature</t>
        </is>
      </c>
      <c r="R125" t="inlineStr"/>
      <c r="S125" t="inlineStr"/>
    </row>
    <row r="126">
      <c r="A126" t="inlineStr">
        <is>
          <t>Dev</t>
        </is>
      </c>
      <c r="B126" s="28" t="inlineStr">
        <is>
          <t>FILTER-11105</t>
        </is>
      </c>
      <c r="C126" s="20" t="inlineStr">
        <is>
          <t>New Feature | Add URL to the Allow/Block list (Existing API)</t>
        </is>
      </c>
      <c r="D126" t="inlineStr">
        <is>
          <t>FILTER-11098</t>
        </is>
      </c>
      <c r="E126" t="inlineStr">
        <is>
          <t>Story</t>
        </is>
      </c>
      <c r="F126" t="inlineStr">
        <is>
          <t>Sagar Satpute</t>
        </is>
      </c>
      <c r="G126" t="inlineStr">
        <is>
          <t>Done</t>
        </is>
      </c>
      <c r="H126" t="inlineStr"/>
      <c r="I126" t="inlineStr">
        <is>
          <t>P3</t>
        </is>
      </c>
      <c r="J126" s="29" t="n">
        <v>45992</v>
      </c>
      <c r="L126" s="29" t="n">
        <v>46043</v>
      </c>
      <c r="M126" t="inlineStr">
        <is>
          <t>sprint-Bertha</t>
        </is>
      </c>
      <c r="N126" s="11" t="n">
        <v>24</v>
      </c>
      <c r="O126" s="11" t="n">
        <v>16</v>
      </c>
      <c r="P126" t="inlineStr">
        <is>
          <t>FILTER</t>
        </is>
      </c>
      <c r="Q126" t="inlineStr">
        <is>
          <t>Capitalized-Feature</t>
        </is>
      </c>
      <c r="R126" t="inlineStr"/>
      <c r="S126" t="inlineStr"/>
    </row>
    <row r="127">
      <c r="A127" t="inlineStr">
        <is>
          <t>Dev</t>
        </is>
      </c>
      <c r="B127" s="28" t="inlineStr">
        <is>
          <t>FILTER-11108</t>
        </is>
      </c>
      <c r="C127" s="20" t="inlineStr">
        <is>
          <t>New Feature | Deleting URL from the Allow/Block list (Existing API)</t>
        </is>
      </c>
      <c r="D127" t="inlineStr">
        <is>
          <t>FILTER-11098</t>
        </is>
      </c>
      <c r="E127" t="inlineStr">
        <is>
          <t>Story</t>
        </is>
      </c>
      <c r="F127" t="inlineStr">
        <is>
          <t>Sagar Satpute</t>
        </is>
      </c>
      <c r="G127" t="inlineStr">
        <is>
          <t>Done</t>
        </is>
      </c>
      <c r="H127" t="inlineStr"/>
      <c r="I127" t="inlineStr">
        <is>
          <t>P3</t>
        </is>
      </c>
      <c r="J127" s="29" t="n">
        <v>45992</v>
      </c>
      <c r="L127" s="29" t="n">
        <v>46043</v>
      </c>
      <c r="M127" t="inlineStr">
        <is>
          <t>sprint-Bertha</t>
        </is>
      </c>
      <c r="N127" s="11" t="n">
        <v>20</v>
      </c>
      <c r="O127" s="11" t="n">
        <v>16</v>
      </c>
      <c r="P127" t="inlineStr">
        <is>
          <t>FILTER</t>
        </is>
      </c>
      <c r="Q127" t="inlineStr">
        <is>
          <t>Capitalized-Feature</t>
        </is>
      </c>
      <c r="R127" t="inlineStr"/>
      <c r="S127" t="inlineStr"/>
    </row>
    <row r="128">
      <c r="A128" t="inlineStr">
        <is>
          <t>Dev</t>
        </is>
      </c>
      <c r="B128" s="28" t="inlineStr">
        <is>
          <t>FILTER-11111</t>
        </is>
      </c>
      <c r="C128" s="20" t="inlineStr">
        <is>
          <t>New Feature | Fetching allow/block list of policy</t>
        </is>
      </c>
      <c r="D128" t="inlineStr">
        <is>
          <t>FILTER-11098</t>
        </is>
      </c>
      <c r="E128" t="inlineStr">
        <is>
          <t>Story</t>
        </is>
      </c>
      <c r="F128" t="inlineStr">
        <is>
          <t>Sagar Satpute</t>
        </is>
      </c>
      <c r="G128" t="inlineStr">
        <is>
          <t>Done</t>
        </is>
      </c>
      <c r="H128" t="inlineStr"/>
      <c r="I128" t="inlineStr">
        <is>
          <t>P3</t>
        </is>
      </c>
      <c r="J128" s="29" t="n">
        <v>45992</v>
      </c>
      <c r="L128" s="29" t="n">
        <v>46043</v>
      </c>
      <c r="M128" t="inlineStr">
        <is>
          <t>sprint-Bertha</t>
        </is>
      </c>
      <c r="N128" s="11" t="n">
        <v>24</v>
      </c>
      <c r="O128" s="11" t="n">
        <v>16</v>
      </c>
      <c r="P128" t="inlineStr">
        <is>
          <t>FILTER</t>
        </is>
      </c>
      <c r="Q128" t="inlineStr">
        <is>
          <t>Capitalized-Feature</t>
        </is>
      </c>
      <c r="R128" t="inlineStr"/>
      <c r="S128" t="inlineStr"/>
    </row>
    <row r="129">
      <c r="A129" t="inlineStr">
        <is>
          <t>Dev</t>
        </is>
      </c>
      <c r="B129" s="28" t="inlineStr">
        <is>
          <t>FILTER-11526</t>
        </is>
      </c>
      <c r="C129" s="20" t="inlineStr">
        <is>
          <t>SEC-IDP: Upgrade IDP Stack to TLS 1.3 and Resolve Secure Cookie Mismatch</t>
        </is>
      </c>
      <c r="D129" t="inlineStr">
        <is>
          <t>FILTER-11471</t>
        </is>
      </c>
      <c r="E129" t="inlineStr">
        <is>
          <t>Task</t>
        </is>
      </c>
      <c r="F129" t="inlineStr">
        <is>
          <t>Sagar Satpute</t>
        </is>
      </c>
      <c r="G129" t="inlineStr">
        <is>
          <t>Done</t>
        </is>
      </c>
      <c r="H129" t="inlineStr"/>
      <c r="I129" t="inlineStr">
        <is>
          <t>P2</t>
        </is>
      </c>
      <c r="J129" s="29" t="n">
        <v>46010</v>
      </c>
      <c r="L129" s="29" t="n">
        <v>46041</v>
      </c>
      <c r="M129" t="inlineStr">
        <is>
          <t>sprint-Bertha</t>
        </is>
      </c>
      <c r="N129" s="11" t="n">
        <v>13</v>
      </c>
      <c r="O129" s="11" t="n">
        <v>13</v>
      </c>
      <c r="P129" t="inlineStr">
        <is>
          <t>FILTER</t>
        </is>
      </c>
      <c r="Q129" t="inlineStr"/>
      <c r="R129" t="inlineStr"/>
      <c r="S129" t="inlineStr"/>
    </row>
    <row r="130">
      <c r="A130" t="inlineStr">
        <is>
          <t>Dev</t>
        </is>
      </c>
      <c r="B130" s="28" t="inlineStr">
        <is>
          <t>FILTER-11540</t>
        </is>
      </c>
      <c r="C130" s="20" t="inlineStr">
        <is>
          <t>Fix PHP Fatal Errors in broker.php and Missing Auth Logic post-AL2 Rollout</t>
        </is>
      </c>
      <c r="D130" t="inlineStr">
        <is>
          <t>FILTER-11312</t>
        </is>
      </c>
      <c r="E130" t="inlineStr">
        <is>
          <t>Escape Defect</t>
        </is>
      </c>
      <c r="F130" t="inlineStr">
        <is>
          <t>Sagar Satpute</t>
        </is>
      </c>
      <c r="G130" t="inlineStr">
        <is>
          <t>Done</t>
        </is>
      </c>
      <c r="H130" t="inlineStr"/>
      <c r="I130" t="inlineStr">
        <is>
          <t>P2</t>
        </is>
      </c>
      <c r="J130" s="29" t="n">
        <v>46012</v>
      </c>
      <c r="L130" s="29" t="n">
        <v>46051</v>
      </c>
      <c r="M130" t="inlineStr">
        <is>
          <t>sprint-Bertha</t>
        </is>
      </c>
      <c r="N130" s="11" t="n">
        <v>8</v>
      </c>
      <c r="O130" s="11" t="n">
        <v>21</v>
      </c>
      <c r="P130" t="inlineStr">
        <is>
          <t>FILTER</t>
        </is>
      </c>
      <c r="Q130" t="inlineStr"/>
      <c r="R130" t="inlineStr"/>
      <c r="S130" t="inlineStr"/>
    </row>
    <row r="131">
      <c r="A131" t="inlineStr">
        <is>
          <t>Dev</t>
        </is>
      </c>
      <c r="B131" s="28" t="inlineStr">
        <is>
          <t>FILTER-11708</t>
        </is>
      </c>
      <c r="C131" s="20" t="inlineStr">
        <is>
          <t>RAILROAD hotfix is handling the deleted user case but isn't handling the disabled user case.</t>
        </is>
      </c>
      <c r="D131" t="inlineStr">
        <is>
          <t>FILTER-11707</t>
        </is>
      </c>
      <c r="E131" t="inlineStr">
        <is>
          <t>Task</t>
        </is>
      </c>
      <c r="F131" t="inlineStr">
        <is>
          <t>Sagar Satpute</t>
        </is>
      </c>
      <c r="G131" t="inlineStr">
        <is>
          <t>Done</t>
        </is>
      </c>
      <c r="H131" t="inlineStr"/>
      <c r="I131" t="inlineStr">
        <is>
          <t>P0</t>
        </is>
      </c>
      <c r="J131" s="29" t="n">
        <v>46041</v>
      </c>
      <c r="L131" s="29" t="n">
        <v>46042</v>
      </c>
      <c r="M131" t="inlineStr">
        <is>
          <t>sprint-Bertha</t>
        </is>
      </c>
      <c r="N131" s="11" t="n">
        <v>8</v>
      </c>
      <c r="O131" s="11" t="n">
        <v>8</v>
      </c>
      <c r="P131" t="inlineStr">
        <is>
          <t>FILTER</t>
        </is>
      </c>
      <c r="Q131" t="inlineStr"/>
      <c r="R131" t="inlineStr"/>
      <c r="S131" t="inlineStr"/>
    </row>
    <row r="132">
      <c r="A132" t="inlineStr">
        <is>
          <t>Dev</t>
        </is>
      </c>
      <c r="B132" s="28" t="inlineStr">
        <is>
          <t>FILTER-11784</t>
        </is>
      </c>
      <c r="C132" s="20" t="inlineStr">
        <is>
          <t>Dev task - Check if archived users are not getting imported through OU import</t>
        </is>
      </c>
      <c r="D132" t="inlineStr">
        <is>
          <t>FILTER-11783</t>
        </is>
      </c>
      <c r="E132" t="inlineStr">
        <is>
          <t>Task</t>
        </is>
      </c>
      <c r="F132" t="inlineStr">
        <is>
          <t>Sagar Satpute</t>
        </is>
      </c>
      <c r="G132" t="inlineStr">
        <is>
          <t>Done</t>
        </is>
      </c>
      <c r="H132" t="inlineStr"/>
      <c r="I132" t="inlineStr">
        <is>
          <t>P0</t>
        </is>
      </c>
      <c r="J132" s="29" t="n">
        <v>46045</v>
      </c>
      <c r="L132" s="29" t="n">
        <v>46045</v>
      </c>
      <c r="M132" t="inlineStr">
        <is>
          <t>sprint-Bertha</t>
        </is>
      </c>
      <c r="N132" s="11" t="n">
        <v>5</v>
      </c>
      <c r="O132" s="11" t="n">
        <v>5</v>
      </c>
      <c r="P132" t="inlineStr">
        <is>
          <t>FILTER</t>
        </is>
      </c>
      <c r="Q132" t="inlineStr"/>
      <c r="R132" t="inlineStr"/>
      <c r="S132" t="inlineStr"/>
    </row>
    <row r="133">
      <c r="A133" t="inlineStr">
        <is>
          <t>Task</t>
        </is>
      </c>
      <c r="B133" s="28" t="inlineStr">
        <is>
          <t>FDSE-148</t>
        </is>
      </c>
      <c r="C133" s="20" t="inlineStr">
        <is>
          <t>Checkbox implementation with new design changes</t>
        </is>
      </c>
      <c r="D133" t="inlineStr">
        <is>
          <t>FDSE-54</t>
        </is>
      </c>
      <c r="E133" t="inlineStr">
        <is>
          <t>Epic</t>
        </is>
      </c>
      <c r="F133" t="inlineStr">
        <is>
          <t>Shailendra Singh</t>
        </is>
      </c>
      <c r="G133" t="inlineStr">
        <is>
          <t>Resolved</t>
        </is>
      </c>
      <c r="H133" t="inlineStr">
        <is>
          <t>Fixed</t>
        </is>
      </c>
      <c r="I133" t="inlineStr">
        <is>
          <t>P3</t>
        </is>
      </c>
      <c r="J133" s="29" t="n">
        <v>46041</v>
      </c>
      <c r="K133" s="29" t="n">
        <v>46054</v>
      </c>
      <c r="L133" s="29" t="n">
        <v>46055</v>
      </c>
      <c r="M133" t="inlineStr">
        <is>
          <t>sprint-Bertha</t>
        </is>
      </c>
      <c r="N133" s="11" t="n">
        <v>32</v>
      </c>
      <c r="O133" s="11" t="n">
        <v>16</v>
      </c>
      <c r="P133" t="inlineStr">
        <is>
          <t>FDSE</t>
        </is>
      </c>
      <c r="Q133" t="inlineStr">
        <is>
          <t>product-filter</t>
        </is>
      </c>
      <c r="R133" t="inlineStr"/>
      <c r="S133" t="inlineStr"/>
    </row>
    <row r="134">
      <c r="A134" t="inlineStr">
        <is>
          <t>Dev</t>
        </is>
      </c>
      <c r="B134" s="28" t="inlineStr">
        <is>
          <t>FILTER-11754</t>
        </is>
      </c>
      <c r="C134" s="20" t="inlineStr">
        <is>
          <t>Dev Task - Fix broken UI</t>
        </is>
      </c>
      <c r="D134" t="inlineStr">
        <is>
          <t>FILTER-11753</t>
        </is>
      </c>
      <c r="E134" t="inlineStr">
        <is>
          <t>Escape Defect</t>
        </is>
      </c>
      <c r="F134" t="inlineStr">
        <is>
          <t>Shailendra Singh</t>
        </is>
      </c>
      <c r="G134" t="inlineStr">
        <is>
          <t>Done</t>
        </is>
      </c>
      <c r="H134" t="inlineStr"/>
      <c r="I134" t="inlineStr">
        <is>
          <t>P3</t>
        </is>
      </c>
      <c r="J134" s="29" t="n">
        <v>46043</v>
      </c>
      <c r="L134" s="29" t="n">
        <v>46050</v>
      </c>
      <c r="M134" t="inlineStr">
        <is>
          <t>sprint-Bertha</t>
        </is>
      </c>
      <c r="N134" s="11" t="n">
        <v>6</v>
      </c>
      <c r="O134" s="11" t="n">
        <v>6</v>
      </c>
      <c r="P134" t="inlineStr">
        <is>
          <t>FILTER</t>
        </is>
      </c>
      <c r="Q134" t="inlineStr"/>
      <c r="R134" t="inlineStr"/>
      <c r="S134" t="inlineStr"/>
    </row>
    <row r="135">
      <c r="A135" t="inlineStr">
        <is>
          <t>QA</t>
        </is>
      </c>
      <c r="B135" s="28" t="inlineStr">
        <is>
          <t>FILTER-11379</t>
        </is>
      </c>
      <c r="C135" s="20" t="inlineStr">
        <is>
          <t>Manual QA Validation for DNS Filtering Conflict on Managed Chromebooks</t>
        </is>
      </c>
      <c r="D135" t="inlineStr">
        <is>
          <t>FILTER-11325</t>
        </is>
      </c>
      <c r="E135" t="inlineStr">
        <is>
          <t>Story</t>
        </is>
      </c>
      <c r="F135" t="inlineStr">
        <is>
          <t>Surabhi Choudhary</t>
        </is>
      </c>
      <c r="G135" t="inlineStr">
        <is>
          <t>Done</t>
        </is>
      </c>
      <c r="H135" t="inlineStr"/>
      <c r="I135" t="inlineStr">
        <is>
          <t>P1</t>
        </is>
      </c>
      <c r="J135" s="29" t="n">
        <v>46000</v>
      </c>
      <c r="L135" s="29" t="n">
        <v>46055</v>
      </c>
      <c r="M135" t="inlineStr">
        <is>
          <t>sprint-Bertha</t>
        </is>
      </c>
      <c r="N135" s="11" t="n">
        <v>6</v>
      </c>
      <c r="O135" s="11" t="n">
        <v>4</v>
      </c>
      <c r="P135" t="inlineStr">
        <is>
          <t>FILTER</t>
        </is>
      </c>
      <c r="Q135" t="inlineStr"/>
      <c r="R135" t="inlineStr"/>
      <c r="S135" t="inlineStr"/>
    </row>
    <row r="136">
      <c r="A136" t="inlineStr">
        <is>
          <t>QA</t>
        </is>
      </c>
      <c r="B136" s="28" t="inlineStr">
        <is>
          <t>FILTER-11393</t>
        </is>
      </c>
      <c r="C136" s="20" t="inlineStr">
        <is>
          <t>Manual QA Validation for Filter Bypass via chrome://chrome-signin</t>
        </is>
      </c>
      <c r="D136" t="inlineStr">
        <is>
          <t>FILTER-11047</t>
        </is>
      </c>
      <c r="E136" t="inlineStr">
        <is>
          <t>Escape Defect</t>
        </is>
      </c>
      <c r="F136" t="inlineStr">
        <is>
          <t>Surabhi Choudhary</t>
        </is>
      </c>
      <c r="G136" t="inlineStr">
        <is>
          <t>Done</t>
        </is>
      </c>
      <c r="H136" t="inlineStr"/>
      <c r="I136" t="inlineStr">
        <is>
          <t>P1</t>
        </is>
      </c>
      <c r="J136" s="29" t="n">
        <v>46000</v>
      </c>
      <c r="L136" s="29" t="n">
        <v>46055</v>
      </c>
      <c r="M136" t="inlineStr">
        <is>
          <t>sprint-Bertha</t>
        </is>
      </c>
      <c r="N136" s="11" t="n">
        <v>1</v>
      </c>
      <c r="O136" s="11" t="n">
        <v>4</v>
      </c>
      <c r="P136" t="inlineStr">
        <is>
          <t>FILTER</t>
        </is>
      </c>
      <c r="Q136" t="inlineStr"/>
      <c r="R136" t="inlineStr"/>
      <c r="S136" t="inlineStr"/>
    </row>
    <row r="137">
      <c r="A137" t="inlineStr">
        <is>
          <t>QA</t>
        </is>
      </c>
      <c r="B137" s="28" t="inlineStr">
        <is>
          <t>FILTER-11585</t>
        </is>
      </c>
      <c r="C137" s="20" t="inlineStr">
        <is>
          <t>QA: Image Blurring incorrectly applied to Block Page and missing metadata on search results</t>
        </is>
      </c>
      <c r="D137" t="inlineStr">
        <is>
          <t>FILTER-10624</t>
        </is>
      </c>
      <c r="E137" t="inlineStr">
        <is>
          <t>Defect</t>
        </is>
      </c>
      <c r="F137" t="inlineStr">
        <is>
          <t>Surabhi Choudhary</t>
        </is>
      </c>
      <c r="G137" t="inlineStr">
        <is>
          <t>Done</t>
        </is>
      </c>
      <c r="H137" t="inlineStr"/>
      <c r="I137" t="inlineStr">
        <is>
          <t>P3</t>
        </is>
      </c>
      <c r="J137" s="29" t="n">
        <v>46027</v>
      </c>
      <c r="L137" s="29" t="n">
        <v>46043</v>
      </c>
      <c r="M137" t="inlineStr">
        <is>
          <t>sprint-Bertha</t>
        </is>
      </c>
      <c r="N137" s="11" t="n">
        <v>4</v>
      </c>
      <c r="O137" s="11" t="n">
        <v>4</v>
      </c>
      <c r="P137" t="inlineStr">
        <is>
          <t>FILTER</t>
        </is>
      </c>
      <c r="Q137" t="inlineStr"/>
      <c r="R137" t="inlineStr"/>
      <c r="S137" t="inlineStr"/>
    </row>
    <row r="138">
      <c r="A138" t="inlineStr">
        <is>
          <t>QA</t>
        </is>
      </c>
      <c r="B138" s="28" t="inlineStr">
        <is>
          <t>FILTER-11664</t>
        </is>
      </c>
      <c r="C138" s="20" t="inlineStr">
        <is>
          <t>Test iOS Image Sidebar Inappropriate Image Leak Fix</t>
        </is>
      </c>
      <c r="D138" t="inlineStr">
        <is>
          <t>FILTER-11644</t>
        </is>
      </c>
      <c r="E138" t="inlineStr">
        <is>
          <t>Escape Defect</t>
        </is>
      </c>
      <c r="F138" t="inlineStr">
        <is>
          <t>Surabhi Choudhary</t>
        </is>
      </c>
      <c r="G138" t="inlineStr">
        <is>
          <t>Done</t>
        </is>
      </c>
      <c r="H138" t="inlineStr"/>
      <c r="I138" t="inlineStr">
        <is>
          <t>P1</t>
        </is>
      </c>
      <c r="J138" s="29" t="n">
        <v>46037</v>
      </c>
      <c r="L138" s="29" t="n">
        <v>46055</v>
      </c>
      <c r="M138" t="inlineStr">
        <is>
          <t>sprint-Bertha</t>
        </is>
      </c>
      <c r="N138" s="11" t="n">
        <v>5</v>
      </c>
      <c r="O138" s="11" t="n">
        <v>5</v>
      </c>
      <c r="P138" t="inlineStr">
        <is>
          <t>FILTER</t>
        </is>
      </c>
      <c r="Q138" t="inlineStr"/>
      <c r="R138" t="inlineStr"/>
      <c r="S138" t="inlineStr"/>
    </row>
    <row r="139">
      <c r="A139" t="inlineStr">
        <is>
          <t>QA</t>
        </is>
      </c>
      <c r="B139" s="28" t="inlineStr">
        <is>
          <t>FILTER-11704</t>
        </is>
      </c>
      <c r="C139" s="20" t="inlineStr">
        <is>
          <t>Regression Testing on IDP Servers</t>
        </is>
      </c>
      <c r="D139" t="inlineStr">
        <is>
          <t>FILTER-11471</t>
        </is>
      </c>
      <c r="E139" t="inlineStr">
        <is>
          <t>Task</t>
        </is>
      </c>
      <c r="F139" t="inlineStr">
        <is>
          <t>Surabhi Choudhary</t>
        </is>
      </c>
      <c r="G139" t="inlineStr">
        <is>
          <t>Done</t>
        </is>
      </c>
      <c r="H139" t="inlineStr"/>
      <c r="I139" t="inlineStr">
        <is>
          <t>P3</t>
        </is>
      </c>
      <c r="J139" s="29" t="n">
        <v>46041</v>
      </c>
      <c r="L139" s="29" t="n">
        <v>46042</v>
      </c>
      <c r="M139" t="inlineStr">
        <is>
          <t>sprint-Bertha</t>
        </is>
      </c>
      <c r="N139" s="11" t="n">
        <v>1</v>
      </c>
      <c r="O139" s="11" t="n">
        <v>1</v>
      </c>
      <c r="P139" t="inlineStr">
        <is>
          <t>FILTER</t>
        </is>
      </c>
      <c r="Q139" t="inlineStr"/>
      <c r="R139" t="inlineStr"/>
      <c r="S139" t="inlineStr"/>
    </row>
    <row r="140">
      <c r="A140" t="inlineStr">
        <is>
          <t>QA</t>
        </is>
      </c>
      <c r="B140" s="28" t="inlineStr">
        <is>
          <t>FILTER-11710</t>
        </is>
      </c>
      <c r="C140" s="20" t="inlineStr">
        <is>
          <t>Manual QA Task to validate the SPAC changes</t>
        </is>
      </c>
      <c r="D140" t="inlineStr">
        <is>
          <t>FILTER-11680</t>
        </is>
      </c>
      <c r="E140" t="inlineStr">
        <is>
          <t>Escape Defect</t>
        </is>
      </c>
      <c r="F140" t="inlineStr">
        <is>
          <t>Surabhi Choudhary</t>
        </is>
      </c>
      <c r="G140" t="inlineStr">
        <is>
          <t>Done</t>
        </is>
      </c>
      <c r="H140" t="inlineStr"/>
      <c r="I140" t="inlineStr">
        <is>
          <t>P1</t>
        </is>
      </c>
      <c r="J140" s="29" t="n">
        <v>46041</v>
      </c>
      <c r="L140" s="29" t="n">
        <v>46055</v>
      </c>
      <c r="M140" t="inlineStr">
        <is>
          <t>sprint-Bertha</t>
        </is>
      </c>
      <c r="N140" s="11" t="n">
        <v>4</v>
      </c>
      <c r="O140" s="11" t="n">
        <v>4</v>
      </c>
      <c r="P140" t="inlineStr">
        <is>
          <t>FILTER</t>
        </is>
      </c>
      <c r="Q140" t="inlineStr"/>
      <c r="R140" t="inlineStr"/>
      <c r="S140" t="inlineStr"/>
    </row>
    <row r="141">
      <c r="A141" t="inlineStr">
        <is>
          <t>QA</t>
        </is>
      </c>
      <c r="B141" s="28" t="inlineStr">
        <is>
          <t>FILTER-11755</t>
        </is>
      </c>
      <c r="C141" s="20" t="inlineStr">
        <is>
          <t>QA task for retesting broken UI</t>
        </is>
      </c>
      <c r="D141" t="inlineStr">
        <is>
          <t>FILTER-11753</t>
        </is>
      </c>
      <c r="E141" t="inlineStr">
        <is>
          <t>Escape Defect</t>
        </is>
      </c>
      <c r="F141" t="inlineStr">
        <is>
          <t>Surabhi Choudhary</t>
        </is>
      </c>
      <c r="G141" t="inlineStr">
        <is>
          <t>Done</t>
        </is>
      </c>
      <c r="H141" t="inlineStr"/>
      <c r="I141" t="inlineStr">
        <is>
          <t>P3</t>
        </is>
      </c>
      <c r="J141" s="29" t="n">
        <v>46043</v>
      </c>
      <c r="L141" s="29" t="n">
        <v>46051</v>
      </c>
      <c r="M141" t="inlineStr">
        <is>
          <t>sprint-Bertha</t>
        </is>
      </c>
      <c r="N141" s="11" t="n">
        <v>0.5</v>
      </c>
      <c r="O141" s="11" t="n">
        <v>0.5</v>
      </c>
      <c r="P141" t="inlineStr">
        <is>
          <t>FILTER</t>
        </is>
      </c>
      <c r="Q141" t="inlineStr"/>
      <c r="R141" t="inlineStr"/>
      <c r="S141" t="inlineStr"/>
    </row>
    <row r="142">
      <c r="A142" t="inlineStr">
        <is>
          <t>Task</t>
        </is>
      </c>
      <c r="B142" s="28" t="inlineStr">
        <is>
          <t>FDSE-137</t>
        </is>
      </c>
      <c r="C142" s="20" t="inlineStr">
        <is>
          <t>Analysis for timepicker component</t>
        </is>
      </c>
      <c r="D142" t="inlineStr">
        <is>
          <t>FDSE-136</t>
        </is>
      </c>
      <c r="E142" t="inlineStr">
        <is>
          <t>Epic</t>
        </is>
      </c>
      <c r="F142" t="inlineStr">
        <is>
          <t>Swaroop Chavhan</t>
        </is>
      </c>
      <c r="G142" t="inlineStr">
        <is>
          <t>Resolved</t>
        </is>
      </c>
      <c r="H142" t="inlineStr">
        <is>
          <t>Fixed</t>
        </is>
      </c>
      <c r="I142" t="inlineStr">
        <is>
          <t>P3</t>
        </is>
      </c>
      <c r="J142" s="29" t="n">
        <v>46000</v>
      </c>
      <c r="K142" s="29" t="n">
        <v>46055</v>
      </c>
      <c r="L142" s="29" t="n">
        <v>46055</v>
      </c>
      <c r="M142" t="inlineStr">
        <is>
          <t>sprint-Bertha</t>
        </is>
      </c>
      <c r="N142" s="11" t="n">
        <v>16</v>
      </c>
      <c r="O142" s="11" t="n">
        <v>16</v>
      </c>
      <c r="P142" t="inlineStr">
        <is>
          <t>FDSE</t>
        </is>
      </c>
      <c r="Q142" t="inlineStr">
        <is>
          <t>product-filter</t>
        </is>
      </c>
      <c r="R142" t="inlineStr"/>
      <c r="S142" t="inlineStr"/>
    </row>
    <row r="143">
      <c r="A143" t="inlineStr">
        <is>
          <t>Defect</t>
        </is>
      </c>
      <c r="B143" s="28" t="inlineStr">
        <is>
          <t>FILTER-10491</t>
        </is>
      </c>
      <c r="C143" s="20" t="inlineStr">
        <is>
          <t>NewFeatureBug: FID user email can access safety console in current session after deleting the email from admin group</t>
        </is>
      </c>
      <c r="D143" t="inlineStr"/>
      <c r="E143" t="inlineStr"/>
      <c r="F143" t="inlineStr">
        <is>
          <t>Vaibhav Kumbhar</t>
        </is>
      </c>
      <c r="G143" t="inlineStr">
        <is>
          <t>Closed without action</t>
        </is>
      </c>
      <c r="H143" t="inlineStr"/>
      <c r="I143" t="inlineStr">
        <is>
          <t>P2</t>
        </is>
      </c>
      <c r="J143" s="29" t="n">
        <v>45954</v>
      </c>
      <c r="L143" s="29" t="n">
        <v>46107</v>
      </c>
      <c r="M143" t="inlineStr">
        <is>
          <t>sprint-Bertha</t>
        </is>
      </c>
      <c r="N143" s="11" t="n">
        <v>5</v>
      </c>
      <c r="O143" s="11" t="n">
        <v>0</v>
      </c>
      <c r="P143" t="inlineStr">
        <is>
          <t>FILTER</t>
        </is>
      </c>
      <c r="Q143" t="inlineStr"/>
      <c r="R143" t="inlineStr"/>
      <c r="S143" t="inlineStr"/>
    </row>
    <row r="144">
      <c r="A144" t="inlineStr">
        <is>
          <t>Dev</t>
        </is>
      </c>
      <c r="B144" s="28" t="inlineStr">
        <is>
          <t>FILTER-11507</t>
        </is>
      </c>
      <c r="C144" s="20" t="inlineStr">
        <is>
          <t>Correct "Allowed" Status in Activity Logs for Blocked Eaglercraft.com Traffic (EXTN)</t>
        </is>
      </c>
      <c r="D144" t="inlineStr">
        <is>
          <t>FILTER-10069</t>
        </is>
      </c>
      <c r="E144" t="inlineStr">
        <is>
          <t>Escape Defect</t>
        </is>
      </c>
      <c r="F144" t="inlineStr">
        <is>
          <t>Vaibhav Kumbhar</t>
        </is>
      </c>
      <c r="G144" t="inlineStr">
        <is>
          <t>Closed without action</t>
        </is>
      </c>
      <c r="H144" t="inlineStr"/>
      <c r="I144" t="inlineStr">
        <is>
          <t>P3</t>
        </is>
      </c>
      <c r="J144" s="29" t="n">
        <v>46010</v>
      </c>
      <c r="L144" s="29" t="n">
        <v>46045</v>
      </c>
      <c r="M144" t="inlineStr">
        <is>
          <t>sprint-Bertha</t>
        </is>
      </c>
      <c r="N144" s="11" t="n">
        <v>8</v>
      </c>
      <c r="O144" s="11" t="n">
        <v>16</v>
      </c>
      <c r="P144" t="inlineStr">
        <is>
          <t>FILTER</t>
        </is>
      </c>
      <c r="Q144" t="inlineStr"/>
      <c r="R144" t="inlineStr"/>
      <c r="S144" t="inlineStr"/>
    </row>
    <row r="145">
      <c r="A145" t="inlineStr">
        <is>
          <t>Dev</t>
        </is>
      </c>
      <c r="B145" s="28" t="inlineStr">
        <is>
          <t>FILTER-11640</t>
        </is>
      </c>
      <c r="C145" s="20" t="inlineStr">
        <is>
          <t>Extension: Fix Youtube unresticted mode dynamic rules</t>
        </is>
      </c>
      <c r="D145" t="inlineStr">
        <is>
          <t>FILTER-11638</t>
        </is>
      </c>
      <c r="E145" t="inlineStr">
        <is>
          <t>Escape Defect</t>
        </is>
      </c>
      <c r="F145" t="inlineStr">
        <is>
          <t>Vaibhav Kumbhar</t>
        </is>
      </c>
      <c r="G145" t="inlineStr">
        <is>
          <t>Done</t>
        </is>
      </c>
      <c r="H145" t="inlineStr"/>
      <c r="I145" t="inlineStr">
        <is>
          <t>P3</t>
        </is>
      </c>
      <c r="J145" s="29" t="n">
        <v>46036</v>
      </c>
      <c r="L145" s="29" t="n">
        <v>46041</v>
      </c>
      <c r="M145" t="inlineStr">
        <is>
          <t>sprint-Bertha</t>
        </is>
      </c>
      <c r="N145" s="11" t="n">
        <v>6</v>
      </c>
      <c r="O145" s="11" t="n">
        <v>6</v>
      </c>
      <c r="P145" t="inlineStr">
        <is>
          <t>FILTER</t>
        </is>
      </c>
      <c r="Q145" t="inlineStr"/>
      <c r="R145" t="inlineStr"/>
      <c r="S145" t="inlineStr"/>
    </row>
    <row r="146">
      <c r="A146" t="inlineStr">
        <is>
          <t>Sub-task</t>
        </is>
      </c>
      <c r="B146" s="28" t="inlineStr">
        <is>
          <t>FILTER-11758</t>
        </is>
      </c>
      <c r="C146" s="20" t="inlineStr">
        <is>
          <t xml:space="preserve">Authorization fixes for FID user </t>
        </is>
      </c>
      <c r="D146" t="inlineStr">
        <is>
          <t>FILTER-10491</t>
        </is>
      </c>
      <c r="E146" t="inlineStr">
        <is>
          <t>Defect</t>
        </is>
      </c>
      <c r="F146" t="inlineStr">
        <is>
          <t>Vaibhav Kumbhar</t>
        </is>
      </c>
      <c r="G146" t="inlineStr">
        <is>
          <t>Closed</t>
        </is>
      </c>
      <c r="H146" t="inlineStr"/>
      <c r="I146" t="inlineStr">
        <is>
          <t>P3</t>
        </is>
      </c>
      <c r="J146" s="29" t="n">
        <v>46043</v>
      </c>
      <c r="L146" s="29" t="n">
        <v>46045</v>
      </c>
      <c r="M146" t="inlineStr">
        <is>
          <t>sprint-Bertha</t>
        </is>
      </c>
      <c r="N146" s="11" t="n">
        <v>5</v>
      </c>
      <c r="O146" s="11" t="n">
        <v>8</v>
      </c>
      <c r="P146" t="inlineStr">
        <is>
          <t>FILTER</t>
        </is>
      </c>
      <c r="Q146" t="inlineStr"/>
      <c r="R146" t="inlineStr"/>
      <c r="S146" t="inlineStr"/>
    </row>
  </sheetData>
  <autoFilter ref="A1:S14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t="inlineStr">
        <is>
          <t>Code Review</t>
        </is>
      </c>
      <c r="B2" s="28" t="inlineStr">
        <is>
          <t>FILTER-11311</t>
        </is>
      </c>
      <c r="C2" s="20" t="inlineStr">
        <is>
          <t>Review PR for the REL : REL-10348</t>
        </is>
      </c>
      <c r="D2" t="inlineStr"/>
      <c r="E2" t="inlineStr"/>
      <c r="F2" t="inlineStr">
        <is>
          <t>Arun Thakur</t>
        </is>
      </c>
      <c r="G2" t="inlineStr">
        <is>
          <t>Backlog</t>
        </is>
      </c>
      <c r="H2" t="inlineStr"/>
      <c r="I2" t="inlineStr">
        <is>
          <t>P3</t>
        </is>
      </c>
      <c r="J2" s="29" t="n">
        <v>45995</v>
      </c>
      <c r="L2" s="29" t="n">
        <v>46056</v>
      </c>
      <c r="M2" t="inlineStr">
        <is>
          <t>sprint-Bertha</t>
        </is>
      </c>
      <c r="N2" s="11" t="n">
        <v>0</v>
      </c>
      <c r="O2" s="11" t="n">
        <v>0.25</v>
      </c>
      <c r="P2" t="inlineStr">
        <is>
          <t>FILTER</t>
        </is>
      </c>
      <c r="Q2" t="inlineStr"/>
      <c r="R2" t="inlineStr"/>
      <c r="S2" t="inlineStr"/>
    </row>
    <row r="3">
      <c r="A3" t="inlineStr">
        <is>
          <t>Code Review</t>
        </is>
      </c>
      <c r="B3" s="28" t="inlineStr">
        <is>
          <t>FILTER-11327</t>
        </is>
      </c>
      <c r="C3" s="20" t="inlineStr">
        <is>
          <t>Review PR for the REL : REL-10355</t>
        </is>
      </c>
      <c r="D3" t="inlineStr"/>
      <c r="E3" t="inlineStr"/>
      <c r="F3" t="inlineStr">
        <is>
          <t>Arun Thakur</t>
        </is>
      </c>
      <c r="G3" t="inlineStr">
        <is>
          <t>Backlog</t>
        </is>
      </c>
      <c r="H3" t="inlineStr"/>
      <c r="I3" t="inlineStr">
        <is>
          <t>P3</t>
        </is>
      </c>
      <c r="J3" s="29" t="n">
        <v>45996</v>
      </c>
      <c r="L3" s="29" t="n">
        <v>46056</v>
      </c>
      <c r="M3" t="inlineStr">
        <is>
          <t>sprint-Bertha</t>
        </is>
      </c>
      <c r="N3" s="11" t="n">
        <v>0</v>
      </c>
      <c r="O3" s="11" t="n">
        <v>0.25</v>
      </c>
      <c r="P3" t="inlineStr">
        <is>
          <t>FILTER</t>
        </is>
      </c>
      <c r="Q3" t="inlineStr"/>
      <c r="R3" t="inlineStr"/>
      <c r="S3" t="inlineStr"/>
    </row>
    <row r="4">
      <c r="A4" t="inlineStr">
        <is>
          <t>Code Review</t>
        </is>
      </c>
      <c r="B4" s="28" t="inlineStr">
        <is>
          <t>FILTER-11406</t>
        </is>
      </c>
      <c r="C4" s="20" t="inlineStr">
        <is>
          <t>Review PR for the REL : REL-10361</t>
        </is>
      </c>
      <c r="D4" t="inlineStr"/>
      <c r="E4" t="inlineStr"/>
      <c r="F4" t="inlineStr">
        <is>
          <t>Arun Thakur</t>
        </is>
      </c>
      <c r="G4" t="inlineStr">
        <is>
          <t>Backlog</t>
        </is>
      </c>
      <c r="H4" t="inlineStr"/>
      <c r="I4" t="inlineStr">
        <is>
          <t>P3</t>
        </is>
      </c>
      <c r="J4" s="29" t="n">
        <v>46001</v>
      </c>
      <c r="L4" s="29" t="n">
        <v>46056</v>
      </c>
      <c r="M4" t="inlineStr">
        <is>
          <t>sprint-Bertha</t>
        </is>
      </c>
      <c r="N4" s="11" t="n">
        <v>0</v>
      </c>
      <c r="O4" s="11" t="n">
        <v>0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Code Review</t>
        </is>
      </c>
      <c r="B5" s="28" t="inlineStr">
        <is>
          <t>FILTER-11063</t>
        </is>
      </c>
      <c r="C5" s="20" t="inlineStr">
        <is>
          <t>Review PR for the REL : REL-10254</t>
        </is>
      </c>
      <c r="D5" t="inlineStr"/>
      <c r="E5" t="inlineStr"/>
      <c r="F5" t="inlineStr">
        <is>
          <t>Harsh Verma</t>
        </is>
      </c>
      <c r="G5" t="inlineStr">
        <is>
          <t>Backlog</t>
        </is>
      </c>
      <c r="H5" t="inlineStr"/>
      <c r="I5" t="inlineStr">
        <is>
          <t>P3</t>
        </is>
      </c>
      <c r="J5" s="29" t="n">
        <v>45989</v>
      </c>
      <c r="L5" s="29" t="n">
        <v>46056</v>
      </c>
      <c r="M5" t="inlineStr">
        <is>
          <t>sprint-Bertha</t>
        </is>
      </c>
      <c r="N5" s="11" t="n">
        <v>0</v>
      </c>
      <c r="O5" s="11" t="n">
        <v>0</v>
      </c>
      <c r="P5" t="inlineStr">
        <is>
          <t>FILTER</t>
        </is>
      </c>
      <c r="Q5" t="inlineStr"/>
      <c r="R5" t="inlineStr"/>
      <c r="S5" t="inlineStr"/>
    </row>
    <row r="6">
      <c r="A6" t="inlineStr">
        <is>
          <t>Code Review</t>
        </is>
      </c>
      <c r="B6" s="28" t="inlineStr">
        <is>
          <t>FILTER-11427</t>
        </is>
      </c>
      <c r="C6" s="20" t="inlineStr">
        <is>
          <t>Review PR for the REL : REL-10316</t>
        </is>
      </c>
      <c r="D6" t="inlineStr"/>
      <c r="E6" t="inlineStr"/>
      <c r="F6" t="inlineStr">
        <is>
          <t>Harsh Verma</t>
        </is>
      </c>
      <c r="G6" t="inlineStr">
        <is>
          <t>Backlog</t>
        </is>
      </c>
      <c r="H6" t="inlineStr"/>
      <c r="I6" t="inlineStr">
        <is>
          <t>P3</t>
        </is>
      </c>
      <c r="J6" s="29" t="n">
        <v>46002</v>
      </c>
      <c r="L6" s="29" t="n">
        <v>46056</v>
      </c>
      <c r="M6" t="inlineStr">
        <is>
          <t>sprint-Bertha</t>
        </is>
      </c>
      <c r="N6" s="11" t="n">
        <v>0</v>
      </c>
      <c r="O6" s="11" t="n">
        <v>0</v>
      </c>
      <c r="P6" t="inlineStr">
        <is>
          <t>FILTER</t>
        </is>
      </c>
      <c r="Q6" t="inlineStr"/>
      <c r="R6" t="inlineStr"/>
      <c r="S6" t="inlineStr"/>
    </row>
    <row r="7">
      <c r="A7" t="inlineStr">
        <is>
          <t>Code Review</t>
        </is>
      </c>
      <c r="B7" s="28" t="inlineStr">
        <is>
          <t>FILTER-11303</t>
        </is>
      </c>
      <c r="C7" s="20" t="inlineStr">
        <is>
          <t>Review PR for the REL : REL-10345</t>
        </is>
      </c>
      <c r="D7" t="inlineStr"/>
      <c r="E7" t="inlineStr"/>
      <c r="F7" t="inlineStr">
        <is>
          <t>Pratik Tiwari</t>
        </is>
      </c>
      <c r="G7" t="inlineStr">
        <is>
          <t>Backlog</t>
        </is>
      </c>
      <c r="H7" t="inlineStr"/>
      <c r="I7" t="inlineStr">
        <is>
          <t>P3</t>
        </is>
      </c>
      <c r="J7" s="29" t="n">
        <v>45995</v>
      </c>
      <c r="L7" s="29" t="n">
        <v>46056</v>
      </c>
      <c r="M7" t="inlineStr">
        <is>
          <t>sprint-Bertha</t>
        </is>
      </c>
      <c r="N7" s="11" t="n">
        <v>0</v>
      </c>
      <c r="O7" s="11" t="n">
        <v>0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Code Review</t>
        </is>
      </c>
      <c r="B8" s="28" t="inlineStr">
        <is>
          <t>FILTER-11310</t>
        </is>
      </c>
      <c r="C8" s="20" t="inlineStr">
        <is>
          <t>Review PR for the REL : REL-10321</t>
        </is>
      </c>
      <c r="D8" t="inlineStr"/>
      <c r="E8" t="inlineStr"/>
      <c r="F8" t="inlineStr">
        <is>
          <t>Pratik Tiwari</t>
        </is>
      </c>
      <c r="G8" t="inlineStr">
        <is>
          <t>Backlog</t>
        </is>
      </c>
      <c r="H8" t="inlineStr"/>
      <c r="I8" t="inlineStr">
        <is>
          <t>P3</t>
        </is>
      </c>
      <c r="J8" s="29" t="n">
        <v>45995</v>
      </c>
      <c r="L8" s="29" t="n">
        <v>46056</v>
      </c>
      <c r="M8" t="inlineStr">
        <is>
          <t>sprint-Bertha</t>
        </is>
      </c>
      <c r="N8" s="11" t="n">
        <v>0</v>
      </c>
      <c r="O8" s="11" t="n">
        <v>0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Code Review</t>
        </is>
      </c>
      <c r="B9" s="28" t="inlineStr">
        <is>
          <t>FILTER-11404</t>
        </is>
      </c>
      <c r="C9" s="20" t="inlineStr">
        <is>
          <t>Review PR for the REL : REL-10361</t>
        </is>
      </c>
      <c r="D9" t="inlineStr"/>
      <c r="E9" t="inlineStr"/>
      <c r="F9" t="inlineStr">
        <is>
          <t>Pratik Tiwari</t>
        </is>
      </c>
      <c r="G9" t="inlineStr">
        <is>
          <t>Backlog</t>
        </is>
      </c>
      <c r="H9" t="inlineStr"/>
      <c r="I9" t="inlineStr">
        <is>
          <t>P3</t>
        </is>
      </c>
      <c r="J9" s="29" t="n">
        <v>46001</v>
      </c>
      <c r="L9" s="29" t="n">
        <v>46056</v>
      </c>
      <c r="M9" t="inlineStr">
        <is>
          <t>sprint-Bertha</t>
        </is>
      </c>
      <c r="N9" s="11" t="n">
        <v>0</v>
      </c>
      <c r="O9" s="11" t="n">
        <v>0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Code Review</t>
        </is>
      </c>
      <c r="B10" s="28" t="inlineStr">
        <is>
          <t>FILTER-11064</t>
        </is>
      </c>
      <c r="C10" s="20" t="inlineStr">
        <is>
          <t>Review PR for the REL : REL-10254</t>
        </is>
      </c>
      <c r="D10" t="inlineStr"/>
      <c r="E10" t="inlineStr"/>
      <c r="F10" t="inlineStr">
        <is>
          <t>Swaroop Chavhan</t>
        </is>
      </c>
      <c r="G10" t="inlineStr">
        <is>
          <t>Backlog</t>
        </is>
      </c>
      <c r="H10" t="inlineStr"/>
      <c r="I10" t="inlineStr">
        <is>
          <t>P3</t>
        </is>
      </c>
      <c r="J10" s="29" t="n">
        <v>45989</v>
      </c>
      <c r="L10" s="29" t="n">
        <v>46056</v>
      </c>
      <c r="M10" t="inlineStr">
        <is>
          <t>sprint-Bertha</t>
        </is>
      </c>
      <c r="N10" s="11" t="n">
        <v>0</v>
      </c>
      <c r="O10" s="11" t="n">
        <v>0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Code Review</t>
        </is>
      </c>
      <c r="B11" s="28" t="inlineStr">
        <is>
          <t>FILTER-11301</t>
        </is>
      </c>
      <c r="C11" s="20" t="inlineStr">
        <is>
          <t>Review PR for the REL : REL-10345</t>
        </is>
      </c>
      <c r="D11" t="inlineStr"/>
      <c r="E11" t="inlineStr"/>
      <c r="F11" t="inlineStr">
        <is>
          <t>Swaroop Chavhan</t>
        </is>
      </c>
      <c r="G11" t="inlineStr">
        <is>
          <t>Backlog</t>
        </is>
      </c>
      <c r="H11" t="inlineStr"/>
      <c r="I11" t="inlineStr">
        <is>
          <t>P3</t>
        </is>
      </c>
      <c r="J11" s="29" t="n">
        <v>45995</v>
      </c>
      <c r="L11" s="29" t="n">
        <v>46056</v>
      </c>
      <c r="M11" t="inlineStr">
        <is>
          <t>sprint-Bertha</t>
        </is>
      </c>
      <c r="N11" s="11" t="n">
        <v>0</v>
      </c>
      <c r="O11" s="11" t="n">
        <v>0</v>
      </c>
      <c r="P11" t="inlineStr">
        <is>
          <t>FILTER</t>
        </is>
      </c>
      <c r="Q11" t="inlineStr"/>
      <c r="R11" t="inlineStr"/>
      <c r="S11" t="inlineStr"/>
    </row>
    <row r="12">
      <c r="A12" t="inlineStr">
        <is>
          <t>Code Review</t>
        </is>
      </c>
      <c r="B12" s="28" t="inlineStr">
        <is>
          <t>FILTER-11372</t>
        </is>
      </c>
      <c r="C12" s="20" t="inlineStr">
        <is>
          <t>Review PR for the REL : REL-10198</t>
        </is>
      </c>
      <c r="D12" t="inlineStr"/>
      <c r="E12" t="inlineStr"/>
      <c r="F12" t="inlineStr">
        <is>
          <t>Swaroop Chavhan</t>
        </is>
      </c>
      <c r="G12" t="inlineStr">
        <is>
          <t>Backlog</t>
        </is>
      </c>
      <c r="H12" t="inlineStr"/>
      <c r="I12" t="inlineStr">
        <is>
          <t>P3</t>
        </is>
      </c>
      <c r="J12" s="29" t="n">
        <v>46000</v>
      </c>
      <c r="L12" s="29" t="n">
        <v>46056</v>
      </c>
      <c r="M12" t="inlineStr">
        <is>
          <t>sprint-Bertha</t>
        </is>
      </c>
      <c r="N12" s="11" t="n">
        <v>0</v>
      </c>
      <c r="O12" s="11" t="n">
        <v>0</v>
      </c>
      <c r="P12" t="inlineStr">
        <is>
          <t>FILTER</t>
        </is>
      </c>
      <c r="Q12" t="inlineStr"/>
      <c r="R12" t="inlineStr"/>
      <c r="S12" t="inlineStr"/>
    </row>
    <row r="13">
      <c r="A13" t="inlineStr">
        <is>
          <t>Code Review</t>
        </is>
      </c>
      <c r="B13" s="28" t="inlineStr">
        <is>
          <t>FILTER-11405</t>
        </is>
      </c>
      <c r="C13" s="20" t="inlineStr">
        <is>
          <t>Review PR for the REL : REL-10361</t>
        </is>
      </c>
      <c r="D13" t="inlineStr"/>
      <c r="E13" t="inlineStr"/>
      <c r="F13" t="inlineStr">
        <is>
          <t>Swaroop Chavhan</t>
        </is>
      </c>
      <c r="G13" t="inlineStr">
        <is>
          <t>Backlog</t>
        </is>
      </c>
      <c r="H13" t="inlineStr"/>
      <c r="I13" t="inlineStr">
        <is>
          <t>P3</t>
        </is>
      </c>
      <c r="J13" s="29" t="n">
        <v>46001</v>
      </c>
      <c r="L13" s="29" t="n">
        <v>46056</v>
      </c>
      <c r="M13" t="inlineStr">
        <is>
          <t>sprint-Bertha</t>
        </is>
      </c>
      <c r="N13" s="11" t="n">
        <v>0</v>
      </c>
      <c r="O13" s="11" t="n">
        <v>0</v>
      </c>
      <c r="P13" t="inlineStr">
        <is>
          <t>FILTER</t>
        </is>
      </c>
      <c r="Q13" t="inlineStr"/>
      <c r="R13" t="inlineStr"/>
      <c r="S13" t="inlineStr"/>
    </row>
  </sheetData>
  <autoFilter ref="A1:S1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2" t="inlineStr">
        <is>
          <t>Task</t>
        </is>
      </c>
      <c r="B2" s="23" t="inlineStr">
        <is>
          <t>FILTER-11697</t>
        </is>
      </c>
      <c r="C2" s="24" t="inlineStr">
        <is>
          <t>Extension of FILTER-11605</t>
        </is>
      </c>
      <c r="D2" s="22" t="inlineStr"/>
      <c r="E2" s="22" t="inlineStr"/>
      <c r="F2" s="22" t="inlineStr">
        <is>
          <t>Harsh Verma</t>
        </is>
      </c>
      <c r="G2" s="22" t="inlineStr">
        <is>
          <t>In Progress</t>
        </is>
      </c>
      <c r="H2" s="22" t="inlineStr"/>
      <c r="I2" s="22" t="inlineStr">
        <is>
          <t>P3</t>
        </is>
      </c>
      <c r="J2" s="25" t="n">
        <v>46041</v>
      </c>
      <c r="K2" s="22" t="n"/>
      <c r="L2" s="25" t="n">
        <v>46139</v>
      </c>
      <c r="M2" s="22" t="inlineStr">
        <is>
          <t>sprint-Bertha</t>
        </is>
      </c>
      <c r="N2" s="26" t="n">
        <v>0</v>
      </c>
      <c r="O2" s="26" t="n">
        <v>24</v>
      </c>
      <c r="P2" s="22" t="inlineStr">
        <is>
          <t>FILTER</t>
        </is>
      </c>
      <c r="Q2" s="22" t="inlineStr">
        <is>
          <t>unplanned-sprint</t>
        </is>
      </c>
      <c r="R2" s="22" t="inlineStr"/>
      <c r="S2" s="27" t="inlineStr">
        <is>
          <t>YES</t>
        </is>
      </c>
    </row>
    <row r="3">
      <c r="A3" s="22" t="inlineStr">
        <is>
          <t>Task</t>
        </is>
      </c>
      <c r="B3" s="23" t="inlineStr">
        <is>
          <t>FDSE-145</t>
        </is>
      </c>
      <c r="C3" s="24" t="inlineStr">
        <is>
          <t>Side Drawer Design Changes</t>
        </is>
      </c>
      <c r="D3" s="22" t="inlineStr">
        <is>
          <t>FDSE-109</t>
        </is>
      </c>
      <c r="E3" s="22" t="inlineStr">
        <is>
          <t>Epic</t>
        </is>
      </c>
      <c r="F3" s="22" t="inlineStr">
        <is>
          <t>Harshada Kude</t>
        </is>
      </c>
      <c r="G3" s="22" t="inlineStr">
        <is>
          <t>Open</t>
        </is>
      </c>
      <c r="H3" s="22" t="inlineStr"/>
      <c r="I3" s="22" t="inlineStr">
        <is>
          <t>P3</t>
        </is>
      </c>
      <c r="J3" s="25" t="n">
        <v>46038</v>
      </c>
      <c r="K3" s="22" t="n"/>
      <c r="L3" s="25" t="n">
        <v>46042</v>
      </c>
      <c r="M3" s="22" t="inlineStr">
        <is>
          <t>sprint-Bertha</t>
        </is>
      </c>
      <c r="N3" s="26" t="n">
        <v>0</v>
      </c>
      <c r="O3" s="26" t="n">
        <v>8</v>
      </c>
      <c r="P3" s="22" t="inlineStr">
        <is>
          <t>FDSE</t>
        </is>
      </c>
      <c r="Q3" s="22" t="inlineStr"/>
      <c r="R3" s="22" t="inlineStr"/>
      <c r="S3" s="27" t="inlineStr">
        <is>
          <t>YES</t>
        </is>
      </c>
    </row>
    <row r="4">
      <c r="A4" t="inlineStr">
        <is>
          <t>Task</t>
        </is>
      </c>
      <c r="B4" s="28" t="inlineStr">
        <is>
          <t>FILTER-11713</t>
        </is>
      </c>
      <c r="C4" s="20" t="inlineStr">
        <is>
          <t xml:space="preserve">[sprox] Securly cookie creation logic implementation </t>
        </is>
      </c>
      <c r="D4" t="inlineStr">
        <is>
          <t>FILTER-8230</t>
        </is>
      </c>
      <c r="E4" t="inlineStr">
        <is>
          <t>Epic</t>
        </is>
      </c>
      <c r="F4" t="inlineStr">
        <is>
          <t>Ashish Temurnikar</t>
        </is>
      </c>
      <c r="G4" t="inlineStr">
        <is>
          <t>Closed</t>
        </is>
      </c>
      <c r="H4" t="inlineStr"/>
      <c r="I4" t="inlineStr">
        <is>
          <t>P3</t>
        </is>
      </c>
      <c r="J4" s="29" t="n">
        <v>46041</v>
      </c>
      <c r="L4" s="29" t="n">
        <v>46086</v>
      </c>
      <c r="M4" t="inlineStr">
        <is>
          <t>sprint-Bertha</t>
        </is>
      </c>
      <c r="N4" s="11" t="n">
        <v>20</v>
      </c>
      <c r="O4" s="11" t="n">
        <v>8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Defect</t>
        </is>
      </c>
      <c r="B5" s="28" t="inlineStr">
        <is>
          <t>FILTER-9299</t>
        </is>
      </c>
      <c r="C5" s="20" t="inlineStr">
        <is>
          <t>NewFeatureBug: SPAC/DNS. Posts on X.com are getting logged twice. One as post and One as search.</t>
        </is>
      </c>
      <c r="D5" t="inlineStr"/>
      <c r="E5" t="inlineStr"/>
      <c r="F5" t="inlineStr">
        <is>
          <t>Ashish Temurnikar</t>
        </is>
      </c>
      <c r="G5" t="inlineStr">
        <is>
          <t>Reopened</t>
        </is>
      </c>
      <c r="H5" t="inlineStr">
        <is>
          <t>Fixed</t>
        </is>
      </c>
      <c r="I5" t="inlineStr">
        <is>
          <t>P2</t>
        </is>
      </c>
      <c r="J5" s="29" t="n">
        <v>45861</v>
      </c>
      <c r="K5" s="29" t="n">
        <v>45863</v>
      </c>
      <c r="L5" s="29" t="n">
        <v>46083</v>
      </c>
      <c r="M5" t="inlineStr">
        <is>
          <t>sprint-Bertha</t>
        </is>
      </c>
      <c r="N5" s="11" t="n">
        <v>18</v>
      </c>
      <c r="O5" s="11" t="n">
        <v>8</v>
      </c>
      <c r="P5" t="inlineStr">
        <is>
          <t>FILTER</t>
        </is>
      </c>
      <c r="Q5" t="inlineStr"/>
      <c r="R5" t="inlineStr"/>
      <c r="S5" t="inlineStr"/>
    </row>
    <row r="6">
      <c r="A6" t="inlineStr">
        <is>
          <t>Task</t>
        </is>
      </c>
      <c r="B6" s="28" t="inlineStr">
        <is>
          <t>FDSE-142</t>
        </is>
      </c>
      <c r="C6" s="20" t="inlineStr">
        <is>
          <t>Dependabot issue fixes</t>
        </is>
      </c>
      <c r="D6" t="inlineStr"/>
      <c r="E6" t="inlineStr"/>
      <c r="F6" t="inlineStr">
        <is>
          <t>Harsh Verma</t>
        </is>
      </c>
      <c r="G6" t="inlineStr">
        <is>
          <t>Closed</t>
        </is>
      </c>
      <c r="H6" t="inlineStr"/>
      <c r="I6" t="inlineStr">
        <is>
          <t>P3</t>
        </is>
      </c>
      <c r="J6" s="29" t="n">
        <v>46027</v>
      </c>
      <c r="L6" s="29" t="n">
        <v>46084</v>
      </c>
      <c r="M6" t="inlineStr">
        <is>
          <t>sprint-Bertha</t>
        </is>
      </c>
      <c r="N6" s="11" t="n">
        <v>5</v>
      </c>
      <c r="O6" s="11" t="n">
        <v>8</v>
      </c>
      <c r="P6" t="inlineStr">
        <is>
          <t>FDSE</t>
        </is>
      </c>
      <c r="Q6" t="inlineStr">
        <is>
          <t>product-filter</t>
        </is>
      </c>
      <c r="R6" t="inlineStr"/>
      <c r="S6" t="inlineStr"/>
    </row>
    <row r="7">
      <c r="A7" t="inlineStr">
        <is>
          <t>Task</t>
        </is>
      </c>
      <c r="B7" s="28" t="inlineStr">
        <is>
          <t>FILTER-10900</t>
        </is>
      </c>
      <c r="C7" s="20" t="inlineStr">
        <is>
          <t xml:space="preserve">[Dependabot issues]Upgrade jspdf-autotable npm library to latest version (5.0) </t>
        </is>
      </c>
      <c r="D7" t="inlineStr"/>
      <c r="E7" t="inlineStr"/>
      <c r="F7" t="inlineStr">
        <is>
          <t>Harshada Kude</t>
        </is>
      </c>
      <c r="G7" t="inlineStr">
        <is>
          <t>Closed</t>
        </is>
      </c>
      <c r="H7" t="inlineStr"/>
      <c r="I7" t="inlineStr">
        <is>
          <t>P3</t>
        </is>
      </c>
      <c r="J7" s="29" t="n">
        <v>45982</v>
      </c>
      <c r="L7" s="29" t="n">
        <v>46084</v>
      </c>
      <c r="M7" t="inlineStr">
        <is>
          <t>sprint-Bertha</t>
        </is>
      </c>
      <c r="N7" s="11" t="n">
        <v>16</v>
      </c>
      <c r="O7" s="11" t="n">
        <v>0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Task</t>
        </is>
      </c>
      <c r="B8" s="28" t="inlineStr">
        <is>
          <t>FILTER-11711</t>
        </is>
      </c>
      <c r="C8" s="20" t="inlineStr">
        <is>
          <t xml:space="preserve">[sprox] Changes certificate logic to be backward compatible with existing redis DB24 </t>
        </is>
      </c>
      <c r="D8" t="inlineStr">
        <is>
          <t>FILTER-8230</t>
        </is>
      </c>
      <c r="E8" t="inlineStr">
        <is>
          <t>Epic</t>
        </is>
      </c>
      <c r="F8" t="inlineStr">
        <is>
          <t>Pratik Tiwari</t>
        </is>
      </c>
      <c r="G8" t="inlineStr">
        <is>
          <t>Closed</t>
        </is>
      </c>
      <c r="H8" t="inlineStr">
        <is>
          <t>Fixed</t>
        </is>
      </c>
      <c r="I8" t="inlineStr">
        <is>
          <t>P2</t>
        </is>
      </c>
      <c r="J8" s="29" t="n">
        <v>46041</v>
      </c>
      <c r="K8" s="29" t="n">
        <v>46063</v>
      </c>
      <c r="L8" s="29" t="n">
        <v>46084</v>
      </c>
      <c r="M8" t="inlineStr">
        <is>
          <t>sprint-Bertha</t>
        </is>
      </c>
      <c r="N8" s="11" t="n">
        <v>12</v>
      </c>
      <c r="O8" s="11" t="n">
        <v>12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Task</t>
        </is>
      </c>
      <c r="B9" s="28" t="inlineStr">
        <is>
          <t>FILTER-9275</t>
        </is>
      </c>
      <c r="C9" s="20" t="inlineStr">
        <is>
          <t>[SPAC] Moving cluster &amp; proxy URL to globals</t>
        </is>
      </c>
      <c r="D9" t="inlineStr"/>
      <c r="E9" t="inlineStr"/>
      <c r="F9" t="inlineStr">
        <is>
          <t>Ravi Raj</t>
        </is>
      </c>
      <c r="G9" t="inlineStr">
        <is>
          <t>Closed</t>
        </is>
      </c>
      <c r="H9" t="inlineStr"/>
      <c r="I9" t="inlineStr">
        <is>
          <t>P2</t>
        </is>
      </c>
      <c r="J9" s="29" t="n">
        <v>45860</v>
      </c>
      <c r="L9" s="29" t="n">
        <v>46084</v>
      </c>
      <c r="M9" t="inlineStr">
        <is>
          <t>sprint-Bertha</t>
        </is>
      </c>
      <c r="N9" s="11" t="n">
        <v>20</v>
      </c>
      <c r="O9" s="11" t="n">
        <v>12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Defect</t>
        </is>
      </c>
      <c r="B10" s="28" t="inlineStr">
        <is>
          <t>FILTER-11581</t>
        </is>
      </c>
      <c r="C10" s="20" t="inlineStr">
        <is>
          <t>NewFeatureBug: SupportTool Customlist API. Name field can be saved with spaces at start and end. Add/Update</t>
        </is>
      </c>
      <c r="D10" t="inlineStr"/>
      <c r="E10" t="inlineStr"/>
      <c r="F10" t="inlineStr">
        <is>
          <t>Sagar Satpute</t>
        </is>
      </c>
      <c r="G10" t="inlineStr">
        <is>
          <t>Closed without action</t>
        </is>
      </c>
      <c r="H10" t="inlineStr"/>
      <c r="I10" t="inlineStr">
        <is>
          <t>P3</t>
        </is>
      </c>
      <c r="J10" s="29" t="n">
        <v>46027</v>
      </c>
      <c r="L10" s="29" t="n">
        <v>46058</v>
      </c>
      <c r="M10" t="inlineStr">
        <is>
          <t>sprint-Bertha</t>
        </is>
      </c>
      <c r="N10" s="11" t="n">
        <v>0</v>
      </c>
      <c r="O10" s="11" t="n">
        <v>0</v>
      </c>
      <c r="P10" t="inlineStr">
        <is>
          <t>FILTER</t>
        </is>
      </c>
      <c r="Q10" t="inlineStr">
        <is>
          <t>unplanned-sprint</t>
        </is>
      </c>
      <c r="R10" t="inlineStr"/>
      <c r="S10" t="inlineStr"/>
    </row>
    <row r="11">
      <c r="A11" t="inlineStr">
        <is>
          <t>Task</t>
        </is>
      </c>
      <c r="B11" s="28" t="inlineStr">
        <is>
          <t>FDSE-112</t>
        </is>
      </c>
      <c r="C11" s="20" t="inlineStr">
        <is>
          <t>Implementation of Button bars as per the design</t>
        </is>
      </c>
      <c r="D11" t="inlineStr">
        <is>
          <t>FDSE-111</t>
        </is>
      </c>
      <c r="E11" t="inlineStr">
        <is>
          <t>Epic</t>
        </is>
      </c>
      <c r="F11" t="inlineStr">
        <is>
          <t>Shailendra Singh</t>
        </is>
      </c>
      <c r="G11" t="inlineStr">
        <is>
          <t>Resolved</t>
        </is>
      </c>
      <c r="H11" t="inlineStr">
        <is>
          <t>Fixed</t>
        </is>
      </c>
      <c r="I11" t="inlineStr">
        <is>
          <t>P3</t>
        </is>
      </c>
      <c r="J11" s="29" t="n">
        <v>45981</v>
      </c>
      <c r="K11" s="29" t="n">
        <v>46062</v>
      </c>
      <c r="L11" s="29" t="n">
        <v>46062</v>
      </c>
      <c r="M11" t="inlineStr">
        <is>
          <t>sprint-Bertha</t>
        </is>
      </c>
      <c r="N11" s="11" t="n">
        <v>24</v>
      </c>
      <c r="O11" s="11" t="n">
        <v>20</v>
      </c>
      <c r="P11" t="inlineStr">
        <is>
          <t>FDSE</t>
        </is>
      </c>
      <c r="Q11" t="inlineStr">
        <is>
          <t>product-filter</t>
        </is>
      </c>
      <c r="R11" t="inlineStr"/>
      <c r="S11" t="inlineStr"/>
    </row>
    <row r="12">
      <c r="A12" t="inlineStr">
        <is>
          <t>Task</t>
        </is>
      </c>
      <c r="B12" s="28" t="inlineStr">
        <is>
          <t>FDSE-123</t>
        </is>
      </c>
      <c r="C12" s="20" t="inlineStr">
        <is>
          <t>Simple search component implementation without chip and without auto-complete</t>
        </is>
      </c>
      <c r="D12" t="inlineStr">
        <is>
          <t>FDSE-122</t>
        </is>
      </c>
      <c r="E12" t="inlineStr">
        <is>
          <t>Epic</t>
        </is>
      </c>
      <c r="F12" t="inlineStr">
        <is>
          <t>Shailendra Singh</t>
        </is>
      </c>
      <c r="G12" t="inlineStr">
        <is>
          <t>Resolved</t>
        </is>
      </c>
      <c r="H12" t="inlineStr"/>
      <c r="I12" t="inlineStr">
        <is>
          <t>P3</t>
        </is>
      </c>
      <c r="J12" s="29" t="n">
        <v>45995</v>
      </c>
      <c r="L12" s="29" t="n">
        <v>46064</v>
      </c>
      <c r="M12" t="inlineStr">
        <is>
          <t>sprint-Bertha</t>
        </is>
      </c>
      <c r="N12" s="11" t="n">
        <v>4</v>
      </c>
      <c r="O12" s="11" t="n">
        <v>24</v>
      </c>
      <c r="P12" t="inlineStr">
        <is>
          <t>FDSE</t>
        </is>
      </c>
      <c r="Q12" t="inlineStr">
        <is>
          <t>Capitalized-Feature, product-filter</t>
        </is>
      </c>
      <c r="R12" t="inlineStr"/>
      <c r="S12" t="inlineStr"/>
    </row>
    <row r="13">
      <c r="A13" t="inlineStr">
        <is>
          <t>Task</t>
        </is>
      </c>
      <c r="B13" s="28" t="inlineStr">
        <is>
          <t>FDSE-126</t>
        </is>
      </c>
      <c r="C13" s="20" t="inlineStr">
        <is>
          <t>Analysis - Search without chip but with auto-complete component implementation</t>
        </is>
      </c>
      <c r="D13" t="inlineStr">
        <is>
          <t>FDSE-174</t>
        </is>
      </c>
      <c r="E13" t="inlineStr">
        <is>
          <t>Epic</t>
        </is>
      </c>
      <c r="F13" t="inlineStr">
        <is>
          <t>Swaroop Chavhan</t>
        </is>
      </c>
      <c r="G13" t="inlineStr">
        <is>
          <t>Resolved</t>
        </is>
      </c>
      <c r="H13" t="inlineStr"/>
      <c r="I13" t="inlineStr">
        <is>
          <t>P3</t>
        </is>
      </c>
      <c r="J13" s="29" t="n">
        <v>45995</v>
      </c>
      <c r="L13" s="29" t="n">
        <v>46127</v>
      </c>
      <c r="M13" t="inlineStr">
        <is>
          <t>sprint-Bertha</t>
        </is>
      </c>
      <c r="N13" s="11" t="n">
        <v>12</v>
      </c>
      <c r="O13" s="11" t="n">
        <v>12</v>
      </c>
      <c r="P13" t="inlineStr">
        <is>
          <t>FDSE</t>
        </is>
      </c>
      <c r="Q13" t="inlineStr">
        <is>
          <t>Capitalized-Feature, product-filter</t>
        </is>
      </c>
      <c r="R13" t="inlineStr"/>
      <c r="S13" t="inlineStr"/>
    </row>
  </sheetData>
  <autoFilter ref="A1:S1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7" t="inlineStr">
        <is>
          <t>P1 Escalation — FILTER · sprint-Bertha (2026-01-20 → 2026-02-02)</t>
        </is>
      </c>
    </row>
    <row r="2">
      <c r="A2" s="30" t="inlineStr">
        <is>
          <t>sprint-Bertha tickets where Issue Type = Escape Defect AND Priority = P1 AND summary contains 'P1 Escalation' (regardless of bucket). Total = 13.</t>
        </is>
      </c>
    </row>
    <row r="4">
      <c r="A4" s="31" t="inlineStr">
        <is>
          <t>Issue Type</t>
        </is>
      </c>
      <c r="B4" s="31" t="inlineStr">
        <is>
          <t>Issue key</t>
        </is>
      </c>
      <c r="C4" s="31" t="inlineStr">
        <is>
          <t>Summary</t>
        </is>
      </c>
      <c r="D4" s="31" t="inlineStr">
        <is>
          <t>Parent key</t>
        </is>
      </c>
      <c r="E4" s="31" t="inlineStr">
        <is>
          <t>Parent type</t>
        </is>
      </c>
      <c r="F4" s="31" t="inlineStr">
        <is>
          <t>Assignee</t>
        </is>
      </c>
      <c r="G4" s="31" t="inlineStr">
        <is>
          <t>Status</t>
        </is>
      </c>
      <c r="H4" s="31" t="inlineStr">
        <is>
          <t>Resolution</t>
        </is>
      </c>
      <c r="I4" s="31" t="inlineStr">
        <is>
          <t>Priority</t>
        </is>
      </c>
      <c r="J4" s="31" t="inlineStr">
        <is>
          <t>Created</t>
        </is>
      </c>
      <c r="K4" s="31" t="inlineStr">
        <is>
          <t>Resolved</t>
        </is>
      </c>
      <c r="L4" s="31" t="inlineStr">
        <is>
          <t>Updated</t>
        </is>
      </c>
      <c r="M4" s="31" t="inlineStr">
        <is>
          <t>Sprint</t>
        </is>
      </c>
      <c r="N4" s="31" t="inlineStr">
        <is>
          <t>Time Spent</t>
        </is>
      </c>
      <c r="O4" s="31" t="inlineStr">
        <is>
          <t>Original Est</t>
        </is>
      </c>
      <c r="P4" s="31" t="inlineStr">
        <is>
          <t>Project</t>
        </is>
      </c>
      <c r="Q4" s="31" t="inlineStr">
        <is>
          <t>Labels</t>
        </is>
      </c>
      <c r="R4" s="31" t="inlineStr">
        <is>
          <t>Blockers</t>
        </is>
      </c>
      <c r="S4" s="31" t="inlineStr">
        <is>
          <t>Bucket</t>
        </is>
      </c>
    </row>
    <row r="5">
      <c r="A5" s="32" t="inlineStr">
        <is>
          <t>Escape Defect</t>
        </is>
      </c>
      <c r="B5" s="33" t="inlineStr">
        <is>
          <t>FILTER-11610</t>
        </is>
      </c>
      <c r="C5" s="34" t="inlineStr">
        <is>
          <t>P1 Escalation-CORs Errors at BlueBeam and Boomerang S3 Amazon domains | St. Vrain</t>
        </is>
      </c>
      <c r="D5" s="32" t="inlineStr"/>
      <c r="E5" s="32" t="inlineStr"/>
      <c r="F5" s="32" t="inlineStr">
        <is>
          <t>Ramani Cheruvu</t>
        </is>
      </c>
      <c r="G5" s="32" t="inlineStr">
        <is>
          <t>In Progress</t>
        </is>
      </c>
      <c r="H5" s="32" t="inlineStr">
        <is>
          <t>Fixed</t>
        </is>
      </c>
      <c r="I5" s="32" t="inlineStr">
        <is>
          <t>P1</t>
        </is>
      </c>
      <c r="J5" s="35" t="n">
        <v>46030</v>
      </c>
      <c r="K5" s="35" t="n">
        <v>46049</v>
      </c>
      <c r="L5" s="35" t="n">
        <v>46139</v>
      </c>
      <c r="M5" s="32" t="inlineStr">
        <is>
          <t>sprint-Bertha</t>
        </is>
      </c>
      <c r="N5" s="36" t="n">
        <v>0</v>
      </c>
      <c r="O5" s="36" t="n">
        <v>0</v>
      </c>
      <c r="P5" s="32" t="inlineStr">
        <is>
          <t>FILTER</t>
        </is>
      </c>
      <c r="Q5" s="32" t="inlineStr">
        <is>
          <t>Reverified-2026, jira_added, jira_backlog, jira_escalated, jira_in_progress, jira_open, jira_p1, jira_reopened, p1escalation, unplanned-sprint, zendesk_enterprise</t>
        </is>
      </c>
      <c r="R5" s="32" t="inlineStr"/>
      <c r="S5" s="37" t="inlineStr">
        <is>
          <t>Removed</t>
        </is>
      </c>
    </row>
    <row r="6">
      <c r="A6" t="inlineStr">
        <is>
          <t>Escape Defect</t>
        </is>
      </c>
      <c r="B6" s="28" t="inlineStr">
        <is>
          <t>FILTER-10237</t>
        </is>
      </c>
      <c r="C6" s="20" t="inlineStr">
        <is>
          <t>P1 escalation-Crextn-specific Bypass using upgraded credentials</t>
        </is>
      </c>
      <c r="D6" t="inlineStr"/>
      <c r="E6" t="inlineStr"/>
      <c r="F6" t="inlineStr">
        <is>
          <t>Ashish Modak</t>
        </is>
      </c>
      <c r="G6" t="inlineStr">
        <is>
          <t>Release in Progress</t>
        </is>
      </c>
      <c r="H6" t="inlineStr">
        <is>
          <t>Fixed</t>
        </is>
      </c>
      <c r="I6" t="inlineStr">
        <is>
          <t>P1</t>
        </is>
      </c>
      <c r="J6" s="29" t="n">
        <v>45926</v>
      </c>
      <c r="K6" s="29" t="n">
        <v>45981</v>
      </c>
      <c r="L6" s="29" t="n">
        <v>46056</v>
      </c>
      <c r="M6" t="inlineStr">
        <is>
          <t>sprint-Bertha</t>
        </is>
      </c>
      <c r="N6" s="11" t="n">
        <v>6</v>
      </c>
      <c r="O6" s="11" t="n">
        <v>6</v>
      </c>
      <c r="P6" t="inlineStr">
        <is>
          <t>FILTER</t>
        </is>
      </c>
      <c r="Q6" t="inlineStr">
        <is>
          <t>Reverified-2025, jira_added, jira_backlog, jira_escalated, jira_in_progress, p1escalation, unplanned-sprint</t>
        </is>
      </c>
      <c r="R6" t="inlineStr"/>
      <c r="S6" t="inlineStr">
        <is>
          <t>Completed</t>
        </is>
      </c>
    </row>
    <row r="7">
      <c r="A7" t="inlineStr">
        <is>
          <t>Escape Defect</t>
        </is>
      </c>
      <c r="B7" s="28" t="inlineStr">
        <is>
          <t>FILTER-7871</t>
        </is>
      </c>
      <c r="C7" s="20" t="inlineStr">
        <is>
          <t>P1 Escalation-Shortcut SmartPAC bypass; --user-agent | Seattleschools</t>
        </is>
      </c>
      <c r="D7" t="inlineStr"/>
      <c r="E7" t="inlineStr"/>
      <c r="F7" t="inlineStr">
        <is>
          <t>Ashish Temurnikar</t>
        </is>
      </c>
      <c r="G7" t="inlineStr">
        <is>
          <t>Closed</t>
        </is>
      </c>
      <c r="H7" t="inlineStr">
        <is>
          <t>Expected behavior</t>
        </is>
      </c>
      <c r="I7" t="inlineStr">
        <is>
          <t>P1</t>
        </is>
      </c>
      <c r="J7" s="29" t="n">
        <v>45758</v>
      </c>
      <c r="K7" s="29" t="n">
        <v>46041</v>
      </c>
      <c r="L7" s="29" t="n">
        <v>46062</v>
      </c>
      <c r="M7" t="inlineStr">
        <is>
          <t>sprint-Bertha</t>
        </is>
      </c>
      <c r="N7" s="11" t="n">
        <v>0</v>
      </c>
      <c r="O7" s="11" t="n">
        <v>0</v>
      </c>
      <c r="P7" t="inlineStr">
        <is>
          <t>FILTER</t>
        </is>
      </c>
      <c r="Q7" t="inlineStr">
        <is>
          <t>Reverified-2026, jira_added, jira_backlog, jira_closed_notify, jira_escalated, jira_in_progress, jira_open, jira_reopened, p1escalation, unplanned-sprint</t>
        </is>
      </c>
      <c r="R7" t="inlineStr"/>
      <c r="S7" t="inlineStr">
        <is>
          <t>Completed</t>
        </is>
      </c>
    </row>
    <row r="8">
      <c r="A8" t="inlineStr">
        <is>
          <t>Escape Defect</t>
        </is>
      </c>
      <c r="B8" s="28" t="inlineStr">
        <is>
          <t>FILTER-8535</t>
        </is>
      </c>
      <c r="C8" s="20" t="inlineStr">
        <is>
          <t>P1 Escalation-Google search drag and drop bypass</t>
        </is>
      </c>
      <c r="D8" t="inlineStr"/>
      <c r="E8" t="inlineStr"/>
      <c r="F8" t="inlineStr">
        <is>
          <t>Pratik Tiwari</t>
        </is>
      </c>
      <c r="G8" t="inlineStr">
        <is>
          <t>Closed</t>
        </is>
      </c>
      <c r="H8" t="inlineStr">
        <is>
          <t>Cannot Reproduce</t>
        </is>
      </c>
      <c r="I8" t="inlineStr">
        <is>
          <t>P1</t>
        </is>
      </c>
      <c r="J8" s="29" t="n">
        <v>45807</v>
      </c>
      <c r="K8" s="29" t="n">
        <v>46079</v>
      </c>
      <c r="L8" s="29" t="n">
        <v>46079</v>
      </c>
      <c r="M8" t="inlineStr">
        <is>
          <t>sprint-Bertha</t>
        </is>
      </c>
      <c r="N8" s="11" t="n">
        <v>24</v>
      </c>
      <c r="O8" s="11" t="n">
        <v>8</v>
      </c>
      <c r="P8" t="inlineStr">
        <is>
          <t>FILTER</t>
        </is>
      </c>
      <c r="Q8" t="inlineStr">
        <is>
          <t>Reverified-2025, jira_added, jira_backlog, jira_escalated, jira_qa_verified, p1escalation, unplanned-sprint</t>
        </is>
      </c>
      <c r="R8" t="inlineStr"/>
      <c r="S8" t="inlineStr">
        <is>
          <t>Completed</t>
        </is>
      </c>
    </row>
    <row r="9">
      <c r="A9" t="inlineStr">
        <is>
          <t>Escape Defect</t>
        </is>
      </c>
      <c r="B9" s="28" t="inlineStr">
        <is>
          <t>FILTER-10034</t>
        </is>
      </c>
      <c r="C9" s="20" t="inlineStr">
        <is>
          <t>P1 Escalation-YouTube blocked while doing a Google Search</t>
        </is>
      </c>
      <c r="D9" t="inlineStr"/>
      <c r="E9" t="inlineStr"/>
      <c r="F9" t="inlineStr">
        <is>
          <t>Shashank Tiwari</t>
        </is>
      </c>
      <c r="G9" t="inlineStr">
        <is>
          <t>Done</t>
        </is>
      </c>
      <c r="H9" t="inlineStr">
        <is>
          <t>Fixed</t>
        </is>
      </c>
      <c r="I9" t="inlineStr">
        <is>
          <t>P1</t>
        </is>
      </c>
      <c r="J9" s="29" t="n">
        <v>45912</v>
      </c>
      <c r="K9" s="29" t="n">
        <v>45985</v>
      </c>
      <c r="L9" s="29" t="n">
        <v>46128</v>
      </c>
      <c r="M9" t="inlineStr">
        <is>
          <t>sprint-Bertha</t>
        </is>
      </c>
      <c r="N9" s="11" t="n">
        <v>5</v>
      </c>
      <c r="O9" s="11" t="n">
        <v>5</v>
      </c>
      <c r="P9" t="inlineStr">
        <is>
          <t>FILTER</t>
        </is>
      </c>
      <c r="Q9" t="inlineStr">
        <is>
          <t>jira_added, jira_closed_notify, jira_confirmation, jira_done, jira_escalated, jira_in_progress, jira_open, jira_p1, jira_p3, jira_qa_verified, jira_reopened, p1escalation, unplanned-sprint, zendesk_org_at_risk</t>
        </is>
      </c>
      <c r="R9" t="inlineStr"/>
      <c r="S9" t="inlineStr">
        <is>
          <t>Removed</t>
        </is>
      </c>
    </row>
    <row r="10">
      <c r="A10" t="inlineStr">
        <is>
          <t>Escape Defect</t>
        </is>
      </c>
      <c r="B10" s="28" t="inlineStr">
        <is>
          <t>FILTER-10392</t>
        </is>
      </c>
      <c r="C10" s="20" t="inlineStr">
        <is>
          <t>P1 Escalation-YouTube Videos play in Gmail even when blocked in policy | Downingtown</t>
        </is>
      </c>
      <c r="D10" t="inlineStr"/>
      <c r="E10" t="inlineStr"/>
      <c r="F10" t="inlineStr">
        <is>
          <t>Shashank Tiwari</t>
        </is>
      </c>
      <c r="G10" t="inlineStr">
        <is>
          <t>Done</t>
        </is>
      </c>
      <c r="H10" t="inlineStr">
        <is>
          <t>Fixed</t>
        </is>
      </c>
      <c r="I10" t="inlineStr">
        <is>
          <t>P1</t>
        </is>
      </c>
      <c r="J10" s="29" t="n">
        <v>45940</v>
      </c>
      <c r="K10" s="29" t="n">
        <v>46063</v>
      </c>
      <c r="L10" s="29" t="n">
        <v>46119</v>
      </c>
      <c r="M10" t="inlineStr">
        <is>
          <t>sprint-Bertha</t>
        </is>
      </c>
      <c r="N10" s="11" t="n">
        <v>16</v>
      </c>
      <c r="O10" s="11" t="n">
        <v>16</v>
      </c>
      <c r="P10" t="inlineStr">
        <is>
          <t>FILTER</t>
        </is>
      </c>
      <c r="Q10" t="inlineStr">
        <is>
          <t>Reverified-2025, jira_added, jira_backlog, jira_closed_notify, jira_escalated, jira_in_progress, jira_qa_verified, jira_reopened, p1escalation, unplanned-sprint</t>
        </is>
      </c>
      <c r="R10" t="inlineStr"/>
      <c r="S10" t="inlineStr">
        <is>
          <t>Removed</t>
        </is>
      </c>
    </row>
    <row r="11">
      <c r="A11" t="inlineStr">
        <is>
          <t>Escape Defect</t>
        </is>
      </c>
      <c r="B11" s="28" t="inlineStr">
        <is>
          <t>FILTER-11047</t>
        </is>
      </c>
      <c r="C11" s="20" t="inlineStr">
        <is>
          <t>P1 Escalation-Filter bypass using Chrome://chrome-signin | Edmonds</t>
        </is>
      </c>
      <c r="D11" t="inlineStr"/>
      <c r="E11" t="inlineStr"/>
      <c r="F11" t="inlineStr">
        <is>
          <t>Shashank Tiwari</t>
        </is>
      </c>
      <c r="G11" t="inlineStr">
        <is>
          <t>Done</t>
        </is>
      </c>
      <c r="H11" t="inlineStr">
        <is>
          <t>Fixed</t>
        </is>
      </c>
      <c r="I11" t="inlineStr">
        <is>
          <t>P1</t>
        </is>
      </c>
      <c r="J11" s="29" t="n">
        <v>45987</v>
      </c>
      <c r="K11" s="29" t="n">
        <v>46049</v>
      </c>
      <c r="L11" s="29" t="n">
        <v>46132</v>
      </c>
      <c r="M11" t="inlineStr">
        <is>
          <t>sprint-Bertha</t>
        </is>
      </c>
      <c r="N11" s="11" t="n">
        <v>17</v>
      </c>
      <c r="O11" s="11" t="n">
        <v>0</v>
      </c>
      <c r="P11" t="inlineStr">
        <is>
          <t>FILTER</t>
        </is>
      </c>
      <c r="Q11" t="inlineStr">
        <is>
          <t>Reverified-2025, jira_added, jira_backlog, jira_closed_notify, jira_done, jira_escalated, jira_in_progress, jira_open, jira_qa_verified, p1escalation</t>
        </is>
      </c>
      <c r="R11" t="inlineStr"/>
      <c r="S11" t="inlineStr">
        <is>
          <t>Completed</t>
        </is>
      </c>
    </row>
    <row r="12">
      <c r="A12" t="inlineStr">
        <is>
          <t>Escape Defect</t>
        </is>
      </c>
      <c r="B12" s="28" t="inlineStr">
        <is>
          <t>FILTER-11443</t>
        </is>
      </c>
      <c r="C12" s="20" t="inlineStr">
        <is>
          <t>P1 Escalation-Chrome extension bypass using Omada DNS</t>
        </is>
      </c>
      <c r="D12" t="inlineStr"/>
      <c r="E12" t="inlineStr"/>
      <c r="F12" t="inlineStr">
        <is>
          <t>Shashank Tiwari</t>
        </is>
      </c>
      <c r="G12" t="inlineStr">
        <is>
          <t>Done</t>
        </is>
      </c>
      <c r="H12" t="inlineStr">
        <is>
          <t>Fixed</t>
        </is>
      </c>
      <c r="I12" t="inlineStr">
        <is>
          <t>P1</t>
        </is>
      </c>
      <c r="J12" s="29" t="n">
        <v>46006</v>
      </c>
      <c r="K12" s="29" t="n">
        <v>46043</v>
      </c>
      <c r="L12" s="29" t="n">
        <v>46119</v>
      </c>
      <c r="M12" t="inlineStr">
        <is>
          <t>sprint-Bertha</t>
        </is>
      </c>
      <c r="N12" s="11" t="n">
        <v>16</v>
      </c>
      <c r="O12" s="11" t="n">
        <v>16</v>
      </c>
      <c r="P12" t="inlineStr">
        <is>
          <t>FILTER</t>
        </is>
      </c>
      <c r="Q12" t="inlineStr">
        <is>
          <t>jira_added, jira_closed_notify, jira_done, jira_escalated, jira_p1, zendesk_enterprise</t>
        </is>
      </c>
      <c r="R12" t="inlineStr"/>
      <c r="S12" t="inlineStr">
        <is>
          <t>Removed</t>
        </is>
      </c>
    </row>
    <row r="13">
      <c r="A13" t="inlineStr">
        <is>
          <t>Escape Defect</t>
        </is>
      </c>
      <c r="B13" s="28" t="inlineStr">
        <is>
          <t>FILTER-11557</t>
        </is>
      </c>
      <c r="C13" s="20" t="inlineStr">
        <is>
          <t>P1 Escalation-Copy &amp; Paste movie script into search bar breaks extension</t>
        </is>
      </c>
      <c r="D13" t="inlineStr"/>
      <c r="E13" t="inlineStr"/>
      <c r="F13" t="inlineStr">
        <is>
          <t>Shashank Tiwari</t>
        </is>
      </c>
      <c r="G13" t="inlineStr">
        <is>
          <t>Done</t>
        </is>
      </c>
      <c r="H13" t="inlineStr">
        <is>
          <t>Fixed</t>
        </is>
      </c>
      <c r="I13" t="inlineStr">
        <is>
          <t>P1</t>
        </is>
      </c>
      <c r="J13" s="29" t="n">
        <v>46013</v>
      </c>
      <c r="K13" s="29" t="n">
        <v>46038</v>
      </c>
      <c r="L13" s="29" t="n">
        <v>46119</v>
      </c>
      <c r="M13" t="inlineStr">
        <is>
          <t>sprint-Bertha</t>
        </is>
      </c>
      <c r="N13" s="11" t="n">
        <v>10</v>
      </c>
      <c r="O13" s="11" t="n">
        <v>12</v>
      </c>
      <c r="P13" t="inlineStr">
        <is>
          <t>FILTER</t>
        </is>
      </c>
      <c r="Q13" t="inlineStr">
        <is>
          <t>Reverified-2026, jira_added, jira_backlog, jira_done, jira_escalated, jira_in_progress, jira_open, jira_p1, jira_qa_verified, jira_reopened, p1escalation, unplanned-sprint</t>
        </is>
      </c>
      <c r="R13" t="inlineStr"/>
      <c r="S13" t="inlineStr">
        <is>
          <t>Completed</t>
        </is>
      </c>
    </row>
    <row r="14">
      <c r="A14" t="inlineStr">
        <is>
          <t>Escape Defect</t>
        </is>
      </c>
      <c r="B14" s="28" t="inlineStr">
        <is>
          <t>FILTER-11644</t>
        </is>
      </c>
      <c r="C14" s="20" t="inlineStr">
        <is>
          <t xml:space="preserve">P1 Escalation-Image side bar is leaking inappropriate images on iOS </t>
        </is>
      </c>
      <c r="D14" t="inlineStr"/>
      <c r="E14" t="inlineStr"/>
      <c r="F14" t="inlineStr">
        <is>
          <t>Shashank Tiwari</t>
        </is>
      </c>
      <c r="G14" t="inlineStr">
        <is>
          <t>Done</t>
        </is>
      </c>
      <c r="H14" t="inlineStr">
        <is>
          <t>Fixed</t>
        </is>
      </c>
      <c r="I14" t="inlineStr">
        <is>
          <t>P1</t>
        </is>
      </c>
      <c r="J14" s="29" t="n">
        <v>46036</v>
      </c>
      <c r="K14" s="29" t="n">
        <v>46051</v>
      </c>
      <c r="L14" s="29" t="n">
        <v>46118</v>
      </c>
      <c r="M14" t="inlineStr">
        <is>
          <t>sprint-Bertha</t>
        </is>
      </c>
      <c r="N14" s="11" t="n">
        <v>17</v>
      </c>
      <c r="O14" s="11" t="n">
        <v>0</v>
      </c>
      <c r="P14" t="inlineStr">
        <is>
          <t>FILTER</t>
        </is>
      </c>
      <c r="Q14" t="inlineStr">
        <is>
          <t>jira_added, jira_closed_notify, jira_done, jira_escalated, jira_p1, zendesk_enterprise</t>
        </is>
      </c>
      <c r="R14" t="inlineStr"/>
      <c r="S14" t="inlineStr">
        <is>
          <t>Completed</t>
        </is>
      </c>
    </row>
    <row r="15">
      <c r="A15" t="inlineStr">
        <is>
          <t>Escape Defect</t>
        </is>
      </c>
      <c r="B15" s="28" t="inlineStr">
        <is>
          <t>FILTER-11654</t>
        </is>
      </c>
      <c r="C15" s="20" t="inlineStr">
        <is>
          <t>P1 Escalation-Crextn blocking issue with Google Workspace apps</t>
        </is>
      </c>
      <c r="D15" t="inlineStr">
        <is>
          <t>FILTER-4326</t>
        </is>
      </c>
      <c r="E15" t="inlineStr">
        <is>
          <t>Epic</t>
        </is>
      </c>
      <c r="F15" t="inlineStr">
        <is>
          <t>Shashank Tiwari</t>
        </is>
      </c>
      <c r="G15" t="inlineStr">
        <is>
          <t>QA Verified</t>
        </is>
      </c>
      <c r="H15" t="inlineStr">
        <is>
          <t>Done</t>
        </is>
      </c>
      <c r="I15" t="inlineStr">
        <is>
          <t>P1</t>
        </is>
      </c>
      <c r="J15" s="29" t="n">
        <v>46037</v>
      </c>
      <c r="K15" s="29" t="n">
        <v>46118</v>
      </c>
      <c r="L15" s="29" t="n">
        <v>46140</v>
      </c>
      <c r="M15" t="inlineStr">
        <is>
          <t>sprint-Bertha</t>
        </is>
      </c>
      <c r="N15" s="11" t="n">
        <v>0</v>
      </c>
      <c r="O15" s="11" t="n">
        <v>0</v>
      </c>
      <c r="P15" t="inlineStr">
        <is>
          <t>FILTER</t>
        </is>
      </c>
      <c r="Q15" t="inlineStr">
        <is>
          <t>jira_added, jira_escalated, jira_in_progress, jira_open, jira_p1, jira_qa_verified, jira_resolved</t>
        </is>
      </c>
      <c r="R15" t="inlineStr"/>
      <c r="S15" t="inlineStr">
        <is>
          <t>Removed</t>
        </is>
      </c>
    </row>
    <row r="16">
      <c r="A16" t="inlineStr">
        <is>
          <t>Escape Defect</t>
        </is>
      </c>
      <c r="B16" s="28" t="inlineStr">
        <is>
          <t>FILTER-11680</t>
        </is>
      </c>
      <c r="C16" s="20" t="inlineStr">
        <is>
          <t>P1 Escalation-[PageScan] SPAC Changes for better coverage</t>
        </is>
      </c>
      <c r="D16" t="inlineStr"/>
      <c r="E16" t="inlineStr"/>
      <c r="F16" t="inlineStr">
        <is>
          <t>Shashank Tiwari</t>
        </is>
      </c>
      <c r="G16" t="inlineStr">
        <is>
          <t>Done</t>
        </is>
      </c>
      <c r="H16" t="inlineStr">
        <is>
          <t>Fixed</t>
        </is>
      </c>
      <c r="I16" t="inlineStr">
        <is>
          <t>P1</t>
        </is>
      </c>
      <c r="J16" s="29" t="n">
        <v>46038</v>
      </c>
      <c r="K16" s="29" t="n">
        <v>46043</v>
      </c>
      <c r="L16" s="29" t="n">
        <v>46090</v>
      </c>
      <c r="M16" t="inlineStr">
        <is>
          <t>sprint-Bertha</t>
        </is>
      </c>
      <c r="N16" s="11" t="n">
        <v>14</v>
      </c>
      <c r="O16" s="11" t="n">
        <v>0</v>
      </c>
      <c r="P16" t="inlineStr">
        <is>
          <t>FILTER</t>
        </is>
      </c>
      <c r="Q16" t="inlineStr">
        <is>
          <t>Reverified-2026, p1escalation, unplanned-sprint</t>
        </is>
      </c>
      <c r="R16" t="inlineStr"/>
      <c r="S16" t="inlineStr">
        <is>
          <t>Completed</t>
        </is>
      </c>
    </row>
    <row r="17">
      <c r="A17" t="inlineStr">
        <is>
          <t>Escape Defect</t>
        </is>
      </c>
      <c r="B17" s="28" t="inlineStr">
        <is>
          <t>FILTER-11777</t>
        </is>
      </c>
      <c r="C17" s="20" t="inlineStr">
        <is>
          <t>P1 Escalation-Google search overloading/breaking chrome extension</t>
        </is>
      </c>
      <c r="D17" t="inlineStr"/>
      <c r="E17" t="inlineStr"/>
      <c r="F17" t="inlineStr">
        <is>
          <t>Shashank Tiwari</t>
        </is>
      </c>
      <c r="G17" t="inlineStr">
        <is>
          <t>Closed</t>
        </is>
      </c>
      <c r="H17" t="inlineStr">
        <is>
          <t>Duplicate</t>
        </is>
      </c>
      <c r="I17" t="inlineStr">
        <is>
          <t>P1</t>
        </is>
      </c>
      <c r="J17" s="29" t="n">
        <v>46044</v>
      </c>
      <c r="K17" s="29" t="n">
        <v>46049</v>
      </c>
      <c r="L17" s="29" t="n">
        <v>46063</v>
      </c>
      <c r="M17" t="inlineStr">
        <is>
          <t>sprint-Bertha</t>
        </is>
      </c>
      <c r="N17" s="11" t="n">
        <v>0</v>
      </c>
      <c r="O17" s="11" t="n">
        <v>0</v>
      </c>
      <c r="P17" t="inlineStr">
        <is>
          <t>FILTER</t>
        </is>
      </c>
      <c r="Q17" t="inlineStr">
        <is>
          <t>Reverified-2026, jira_added, jira_backlog, jira_closed_notify, jira_escalated, p1escalation, unplanned-sprint</t>
        </is>
      </c>
      <c r="R17" t="inlineStr"/>
      <c r="S17" t="inlineStr">
        <is>
          <t>Completed</t>
        </is>
      </c>
    </row>
  </sheetData>
  <autoFilter ref="A4:S17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2026-04-29T03:04:23Z</dcterms:created>
  <dcterms:modified xsi:type="dcterms:W3CDTF">2026-04-29T03:04:23Z</dcterms:modified>
</cp:coreProperties>
</file>