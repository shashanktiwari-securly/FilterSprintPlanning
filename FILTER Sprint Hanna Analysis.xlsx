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'Completed'!$A$1:$S$241</definedName>
    <definedName name="_xlnm._FilterDatabase" localSheetId="3" hidden="1">'Not Completed'!$A$1:$S$63</definedName>
    <definedName name="_xlnm._FilterDatabase" localSheetId="4" hidden="1">'Removed'!$A$1:$S$12</definedName>
    <definedName name="_xlnm._FilterDatabase" localSheetId="5" hidden="1">'P1 Escalation'!$A$4:$S$13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9C57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4" borderId="0" pivotButton="0" quotePrefix="0" xfId="0"/>
    <xf numFmtId="1" fontId="0" fillId="0" borderId="0" pivotButton="0" quotePrefix="0" xfId="0"/>
    <xf numFmtId="2" fontId="0" fillId="4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wrapText="1"/>
    </xf>
    <xf numFmtId="0" fontId="6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6" borderId="0" pivotButton="0" quotePrefix="0" xfId="0"/>
    <xf numFmtId="0" fontId="10" fillId="6" borderId="0" pivotButton="0" quotePrefix="0" xfId="0"/>
    <xf numFmtId="0" fontId="0" fillId="6" borderId="0" applyAlignment="1" pivotButton="0" quotePrefix="0" xfId="0">
      <alignment vertical="top" wrapText="1"/>
    </xf>
    <xf numFmtId="167" fontId="0" fillId="6" borderId="0" pivotButton="0" quotePrefix="0" xfId="0"/>
    <xf numFmtId="2" fontId="0" fillId="6" borderId="0" pivotButton="0" quotePrefix="0" xfId="0"/>
    <xf numFmtId="0" fontId="9" fillId="6" borderId="0" pivotButton="0" quotePrefix="0" xfId="0"/>
    <xf numFmtId="0" fontId="10" fillId="0" borderId="0" pivotButton="0" quotePrefix="0" xfId="0"/>
    <xf numFmtId="167" fontId="0" fillId="0" borderId="0" pivotButton="0" quotePrefix="0" xfId="0"/>
    <xf numFmtId="0" fontId="11" fillId="0" borderId="0" pivotButton="0" quotePrefix="0" xfId="0"/>
    <xf numFmtId="0" fontId="12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0" fillId="8" borderId="0" applyAlignment="1" pivotButton="0" quotePrefix="0" xfId="0">
      <alignment vertical="top" wrapText="1"/>
    </xf>
    <xf numFmtId="167" fontId="0" fillId="8" borderId="0" pivotButton="0" quotePrefix="0" xfId="0"/>
    <xf numFmtId="2" fontId="0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3743" TargetMode="External" Id="rId1" /><Relationship Type="http://schemas.openxmlformats.org/officeDocument/2006/relationships/hyperlink" Target="https://securly.atlassian.net/browse/FILTER-13801" TargetMode="External" Id="rId2" /><Relationship Type="http://schemas.openxmlformats.org/officeDocument/2006/relationships/hyperlink" Target="https://securly.atlassian.net/browse/FDSE-173" TargetMode="External" Id="rId3" /><Relationship Type="http://schemas.openxmlformats.org/officeDocument/2006/relationships/hyperlink" Target="https://securly.atlassian.net/browse/FILTER-12244" TargetMode="External" Id="rId4" /><Relationship Type="http://schemas.openxmlformats.org/officeDocument/2006/relationships/hyperlink" Target="https://securly.atlassian.net/browse/FILTER-13621" TargetMode="External" Id="rId5" /><Relationship Type="http://schemas.openxmlformats.org/officeDocument/2006/relationships/hyperlink" Target="https://securly.atlassian.net/browse/FILTER-12796" TargetMode="External" Id="rId6" /><Relationship Type="http://schemas.openxmlformats.org/officeDocument/2006/relationships/hyperlink" Target="https://securly.atlassian.net/browse/FILTER-12200" TargetMode="External" Id="rId7" /><Relationship Type="http://schemas.openxmlformats.org/officeDocument/2006/relationships/hyperlink" Target="https://securly.atlassian.net/browse/FDSE-156" TargetMode="External" Id="rId8" /><Relationship Type="http://schemas.openxmlformats.org/officeDocument/2006/relationships/hyperlink" Target="https://securly.atlassian.net/browse/FILTER-13620" TargetMode="External" Id="rId9" /><Relationship Type="http://schemas.openxmlformats.org/officeDocument/2006/relationships/hyperlink" Target="https://securly.atlassian.net/browse/PTGM-686" TargetMode="External" Id="rId10" /><Relationship Type="http://schemas.openxmlformats.org/officeDocument/2006/relationships/hyperlink" Target="https://securly.atlassian.net/browse/PTGM-687" TargetMode="External" Id="rId11" /><Relationship Type="http://schemas.openxmlformats.org/officeDocument/2006/relationships/hyperlink" Target="https://securly.atlassian.net/browse/FILTER-11167" TargetMode="External" Id="rId12" /><Relationship Type="http://schemas.openxmlformats.org/officeDocument/2006/relationships/hyperlink" Target="https://securly.atlassian.net/browse/FILTER-12325" TargetMode="External" Id="rId13" /><Relationship Type="http://schemas.openxmlformats.org/officeDocument/2006/relationships/hyperlink" Target="https://securly.atlassian.net/browse/FILTER-12705" TargetMode="External" Id="rId14" /><Relationship Type="http://schemas.openxmlformats.org/officeDocument/2006/relationships/hyperlink" Target="https://securly.atlassian.net/browse/FILTER-12706" TargetMode="External" Id="rId15" /><Relationship Type="http://schemas.openxmlformats.org/officeDocument/2006/relationships/hyperlink" Target="https://securly.atlassian.net/browse/FILTER-12770" TargetMode="External" Id="rId16" /><Relationship Type="http://schemas.openxmlformats.org/officeDocument/2006/relationships/hyperlink" Target="https://securly.atlassian.net/browse/FILTER-12774" TargetMode="External" Id="rId17" /><Relationship Type="http://schemas.openxmlformats.org/officeDocument/2006/relationships/hyperlink" Target="https://securly.atlassian.net/browse/FILTER-12778" TargetMode="External" Id="rId18" /><Relationship Type="http://schemas.openxmlformats.org/officeDocument/2006/relationships/hyperlink" Target="https://securly.atlassian.net/browse/FILTER-12858" TargetMode="External" Id="rId19" /><Relationship Type="http://schemas.openxmlformats.org/officeDocument/2006/relationships/hyperlink" Target="https://securly.atlassian.net/browse/FILTER-12866" TargetMode="External" Id="rId20" /><Relationship Type="http://schemas.openxmlformats.org/officeDocument/2006/relationships/hyperlink" Target="https://securly.atlassian.net/browse/FILTER-12870" TargetMode="External" Id="rId21" /><Relationship Type="http://schemas.openxmlformats.org/officeDocument/2006/relationships/hyperlink" Target="https://securly.atlassian.net/browse/FILTER-12874" TargetMode="External" Id="rId22" /><Relationship Type="http://schemas.openxmlformats.org/officeDocument/2006/relationships/hyperlink" Target="https://securly.atlassian.net/browse/FILTER-12886" TargetMode="External" Id="rId23" /><Relationship Type="http://schemas.openxmlformats.org/officeDocument/2006/relationships/hyperlink" Target="https://securly.atlassian.net/browse/FILTER-12890" TargetMode="External" Id="rId24" /><Relationship Type="http://schemas.openxmlformats.org/officeDocument/2006/relationships/hyperlink" Target="https://securly.atlassian.net/browse/FILTER-12894" TargetMode="External" Id="rId25" /><Relationship Type="http://schemas.openxmlformats.org/officeDocument/2006/relationships/hyperlink" Target="https://securly.atlassian.net/browse/FILTER-12898" TargetMode="External" Id="rId26" /><Relationship Type="http://schemas.openxmlformats.org/officeDocument/2006/relationships/hyperlink" Target="https://securly.atlassian.net/browse/FILTER-12902" TargetMode="External" Id="rId27" /><Relationship Type="http://schemas.openxmlformats.org/officeDocument/2006/relationships/hyperlink" Target="https://securly.atlassian.net/browse/FILTER-12910" TargetMode="External" Id="rId28" /><Relationship Type="http://schemas.openxmlformats.org/officeDocument/2006/relationships/hyperlink" Target="https://securly.atlassian.net/browse/FILTER-12934" TargetMode="External" Id="rId29" /><Relationship Type="http://schemas.openxmlformats.org/officeDocument/2006/relationships/hyperlink" Target="https://securly.atlassian.net/browse/FILTER-12938" TargetMode="External" Id="rId30" /><Relationship Type="http://schemas.openxmlformats.org/officeDocument/2006/relationships/hyperlink" Target="https://securly.atlassian.net/browse/FILTER-12999" TargetMode="External" Id="rId31" /><Relationship Type="http://schemas.openxmlformats.org/officeDocument/2006/relationships/hyperlink" Target="https://securly.atlassian.net/browse/FILTER-13379" TargetMode="External" Id="rId32" /><Relationship Type="http://schemas.openxmlformats.org/officeDocument/2006/relationships/hyperlink" Target="https://securly.atlassian.net/browse/FILTER-13401" TargetMode="External" Id="rId33" /><Relationship Type="http://schemas.openxmlformats.org/officeDocument/2006/relationships/hyperlink" Target="https://securly.atlassian.net/browse/FILTER-13456" TargetMode="External" Id="rId34" /><Relationship Type="http://schemas.openxmlformats.org/officeDocument/2006/relationships/hyperlink" Target="https://securly.atlassian.net/browse/FILTER-13460" TargetMode="External" Id="rId35" /><Relationship Type="http://schemas.openxmlformats.org/officeDocument/2006/relationships/hyperlink" Target="https://securly.atlassian.net/browse/FILTER-13464" TargetMode="External" Id="rId36" /><Relationship Type="http://schemas.openxmlformats.org/officeDocument/2006/relationships/hyperlink" Target="https://securly.atlassian.net/browse/FILTER-13544" TargetMode="External" Id="rId37" /><Relationship Type="http://schemas.openxmlformats.org/officeDocument/2006/relationships/hyperlink" Target="https://securly.atlassian.net/browse/FILTER-13584" TargetMode="External" Id="rId38" /><Relationship Type="http://schemas.openxmlformats.org/officeDocument/2006/relationships/hyperlink" Target="https://securly.atlassian.net/browse/FILTER-13585" TargetMode="External" Id="rId39" /><Relationship Type="http://schemas.openxmlformats.org/officeDocument/2006/relationships/hyperlink" Target="https://securly.atlassian.net/browse/FILTER-13741" TargetMode="External" Id="rId40" /><Relationship Type="http://schemas.openxmlformats.org/officeDocument/2006/relationships/hyperlink" Target="https://securly.atlassian.net/browse/FILTER-13749" TargetMode="External" Id="rId41" /><Relationship Type="http://schemas.openxmlformats.org/officeDocument/2006/relationships/hyperlink" Target="https://securly.atlassian.net/browse/FILTER-11243" TargetMode="External" Id="rId42" /><Relationship Type="http://schemas.openxmlformats.org/officeDocument/2006/relationships/hyperlink" Target="https://securly.atlassian.net/browse/FILTER-11382" TargetMode="External" Id="rId43" /><Relationship Type="http://schemas.openxmlformats.org/officeDocument/2006/relationships/hyperlink" Target="https://securly.atlassian.net/browse/FILTER-11537" TargetMode="External" Id="rId44" /><Relationship Type="http://schemas.openxmlformats.org/officeDocument/2006/relationships/hyperlink" Target="https://securly.atlassian.net/browse/FILTER-11656" TargetMode="External" Id="rId45" /><Relationship Type="http://schemas.openxmlformats.org/officeDocument/2006/relationships/hyperlink" Target="https://securly.atlassian.net/browse/FILTER-11660" TargetMode="External" Id="rId46" /><Relationship Type="http://schemas.openxmlformats.org/officeDocument/2006/relationships/hyperlink" Target="https://securly.atlassian.net/browse/FILTER-11845" TargetMode="External" Id="rId47" /><Relationship Type="http://schemas.openxmlformats.org/officeDocument/2006/relationships/hyperlink" Target="https://securly.atlassian.net/browse/FILTER-11874" TargetMode="External" Id="rId48" /><Relationship Type="http://schemas.openxmlformats.org/officeDocument/2006/relationships/hyperlink" Target="https://securly.atlassian.net/browse/FILTER-12040" TargetMode="External" Id="rId49" /><Relationship Type="http://schemas.openxmlformats.org/officeDocument/2006/relationships/hyperlink" Target="https://securly.atlassian.net/browse/FILTER-12187" TargetMode="External" Id="rId50" /><Relationship Type="http://schemas.openxmlformats.org/officeDocument/2006/relationships/hyperlink" Target="https://securly.atlassian.net/browse/FILTER-12201" TargetMode="External" Id="rId51" /><Relationship Type="http://schemas.openxmlformats.org/officeDocument/2006/relationships/hyperlink" Target="https://securly.atlassian.net/browse/FILTER-12562" TargetMode="External" Id="rId52" /><Relationship Type="http://schemas.openxmlformats.org/officeDocument/2006/relationships/hyperlink" Target="https://securly.atlassian.net/browse/FILTER-12707" TargetMode="External" Id="rId53" /><Relationship Type="http://schemas.openxmlformats.org/officeDocument/2006/relationships/hyperlink" Target="https://securly.atlassian.net/browse/FILTER-12721" TargetMode="External" Id="rId54" /><Relationship Type="http://schemas.openxmlformats.org/officeDocument/2006/relationships/hyperlink" Target="https://securly.atlassian.net/browse/FILTER-12771" TargetMode="External" Id="rId55" /><Relationship Type="http://schemas.openxmlformats.org/officeDocument/2006/relationships/hyperlink" Target="https://securly.atlassian.net/browse/FILTER-12775" TargetMode="External" Id="rId56" /><Relationship Type="http://schemas.openxmlformats.org/officeDocument/2006/relationships/hyperlink" Target="https://securly.atlassian.net/browse/FILTER-12779" TargetMode="External" Id="rId57" /><Relationship Type="http://schemas.openxmlformats.org/officeDocument/2006/relationships/hyperlink" Target="https://securly.atlassian.net/browse/FILTER-12799" TargetMode="External" Id="rId58" /><Relationship Type="http://schemas.openxmlformats.org/officeDocument/2006/relationships/hyperlink" Target="https://securly.atlassian.net/browse/FILTER-12859" TargetMode="External" Id="rId59" /><Relationship Type="http://schemas.openxmlformats.org/officeDocument/2006/relationships/hyperlink" Target="https://securly.atlassian.net/browse/FILTER-12867" TargetMode="External" Id="rId60" /><Relationship Type="http://schemas.openxmlformats.org/officeDocument/2006/relationships/hyperlink" Target="https://securly.atlassian.net/browse/FILTER-12871" TargetMode="External" Id="rId61" /><Relationship Type="http://schemas.openxmlformats.org/officeDocument/2006/relationships/hyperlink" Target="https://securly.atlassian.net/browse/FILTER-12875" TargetMode="External" Id="rId62" /><Relationship Type="http://schemas.openxmlformats.org/officeDocument/2006/relationships/hyperlink" Target="https://securly.atlassian.net/browse/FILTER-12887" TargetMode="External" Id="rId63" /><Relationship Type="http://schemas.openxmlformats.org/officeDocument/2006/relationships/hyperlink" Target="https://securly.atlassian.net/browse/FILTER-12891" TargetMode="External" Id="rId64" /><Relationship Type="http://schemas.openxmlformats.org/officeDocument/2006/relationships/hyperlink" Target="https://securly.atlassian.net/browse/FILTER-12895" TargetMode="External" Id="rId65" /><Relationship Type="http://schemas.openxmlformats.org/officeDocument/2006/relationships/hyperlink" Target="https://securly.atlassian.net/browse/FILTER-12899" TargetMode="External" Id="rId66" /><Relationship Type="http://schemas.openxmlformats.org/officeDocument/2006/relationships/hyperlink" Target="https://securly.atlassian.net/browse/FILTER-12903" TargetMode="External" Id="rId67" /><Relationship Type="http://schemas.openxmlformats.org/officeDocument/2006/relationships/hyperlink" Target="https://securly.atlassian.net/browse/FILTER-12907" TargetMode="External" Id="rId68" /><Relationship Type="http://schemas.openxmlformats.org/officeDocument/2006/relationships/hyperlink" Target="https://securly.atlassian.net/browse/FILTER-12911" TargetMode="External" Id="rId69" /><Relationship Type="http://schemas.openxmlformats.org/officeDocument/2006/relationships/hyperlink" Target="https://securly.atlassian.net/browse/FILTER-12935" TargetMode="External" Id="rId70" /><Relationship Type="http://schemas.openxmlformats.org/officeDocument/2006/relationships/hyperlink" Target="https://securly.atlassian.net/browse/FILTER-12939" TargetMode="External" Id="rId71" /><Relationship Type="http://schemas.openxmlformats.org/officeDocument/2006/relationships/hyperlink" Target="https://securly.atlassian.net/browse/FILTER-13000" TargetMode="External" Id="rId72" /><Relationship Type="http://schemas.openxmlformats.org/officeDocument/2006/relationships/hyperlink" Target="https://securly.atlassian.net/browse/FILTER-13051" TargetMode="External" Id="rId73" /><Relationship Type="http://schemas.openxmlformats.org/officeDocument/2006/relationships/hyperlink" Target="https://securly.atlassian.net/browse/FILTER-13108" TargetMode="External" Id="rId74" /><Relationship Type="http://schemas.openxmlformats.org/officeDocument/2006/relationships/hyperlink" Target="https://securly.atlassian.net/browse/FILTER-13301" TargetMode="External" Id="rId75" /><Relationship Type="http://schemas.openxmlformats.org/officeDocument/2006/relationships/hyperlink" Target="https://securly.atlassian.net/browse/FILTER-13313" TargetMode="External" Id="rId76" /><Relationship Type="http://schemas.openxmlformats.org/officeDocument/2006/relationships/hyperlink" Target="https://securly.atlassian.net/browse/FILTER-13347" TargetMode="External" Id="rId77" /><Relationship Type="http://schemas.openxmlformats.org/officeDocument/2006/relationships/hyperlink" Target="https://securly.atlassian.net/browse/FILTER-13355" TargetMode="External" Id="rId78" /><Relationship Type="http://schemas.openxmlformats.org/officeDocument/2006/relationships/hyperlink" Target="https://securly.atlassian.net/browse/FILTER-13380" TargetMode="External" Id="rId79" /><Relationship Type="http://schemas.openxmlformats.org/officeDocument/2006/relationships/hyperlink" Target="https://securly.atlassian.net/browse/FILTER-13402" TargetMode="External" Id="rId80" /><Relationship Type="http://schemas.openxmlformats.org/officeDocument/2006/relationships/hyperlink" Target="https://securly.atlassian.net/browse/FILTER-13445" TargetMode="External" Id="rId81" /><Relationship Type="http://schemas.openxmlformats.org/officeDocument/2006/relationships/hyperlink" Target="https://securly.atlassian.net/browse/FILTER-13457" TargetMode="External" Id="rId82" /><Relationship Type="http://schemas.openxmlformats.org/officeDocument/2006/relationships/hyperlink" Target="https://securly.atlassian.net/browse/FILTER-13461" TargetMode="External" Id="rId83" /><Relationship Type="http://schemas.openxmlformats.org/officeDocument/2006/relationships/hyperlink" Target="https://securly.atlassian.net/browse/FILTER-13465" TargetMode="External" Id="rId84" /><Relationship Type="http://schemas.openxmlformats.org/officeDocument/2006/relationships/hyperlink" Target="https://securly.atlassian.net/browse/FILTER-13485" TargetMode="External" Id="rId85" /><Relationship Type="http://schemas.openxmlformats.org/officeDocument/2006/relationships/hyperlink" Target="https://securly.atlassian.net/browse/FILTER-13489" TargetMode="External" Id="rId86" /><Relationship Type="http://schemas.openxmlformats.org/officeDocument/2006/relationships/hyperlink" Target="https://securly.atlassian.net/browse/FILTER-13493" TargetMode="External" Id="rId87" /><Relationship Type="http://schemas.openxmlformats.org/officeDocument/2006/relationships/hyperlink" Target="https://securly.atlassian.net/browse/FILTER-13506" TargetMode="External" Id="rId88" /><Relationship Type="http://schemas.openxmlformats.org/officeDocument/2006/relationships/hyperlink" Target="https://securly.atlassian.net/browse/FILTER-13510" TargetMode="External" Id="rId89" /><Relationship Type="http://schemas.openxmlformats.org/officeDocument/2006/relationships/hyperlink" Target="https://securly.atlassian.net/browse/FILTER-13521" TargetMode="External" Id="rId90" /><Relationship Type="http://schemas.openxmlformats.org/officeDocument/2006/relationships/hyperlink" Target="https://securly.atlassian.net/browse/FILTER-13529" TargetMode="External" Id="rId91" /><Relationship Type="http://schemas.openxmlformats.org/officeDocument/2006/relationships/hyperlink" Target="https://securly.atlassian.net/browse/FILTER-13545" TargetMode="External" Id="rId92" /><Relationship Type="http://schemas.openxmlformats.org/officeDocument/2006/relationships/hyperlink" Target="https://securly.atlassian.net/browse/FILTER-13561" TargetMode="External" Id="rId93" /><Relationship Type="http://schemas.openxmlformats.org/officeDocument/2006/relationships/hyperlink" Target="https://securly.atlassian.net/browse/FILTER-13567" TargetMode="External" Id="rId94" /><Relationship Type="http://schemas.openxmlformats.org/officeDocument/2006/relationships/hyperlink" Target="https://securly.atlassian.net/browse/FILTER-13586" TargetMode="External" Id="rId95" /><Relationship Type="http://schemas.openxmlformats.org/officeDocument/2006/relationships/hyperlink" Target="https://securly.atlassian.net/browse/FILTER-13590" TargetMode="External" Id="rId96" /><Relationship Type="http://schemas.openxmlformats.org/officeDocument/2006/relationships/hyperlink" Target="https://securly.atlassian.net/browse/FILTER-13604" TargetMode="External" Id="rId97" /><Relationship Type="http://schemas.openxmlformats.org/officeDocument/2006/relationships/hyperlink" Target="https://securly.atlassian.net/browse/FILTER-13638" TargetMode="External" Id="rId98" /><Relationship Type="http://schemas.openxmlformats.org/officeDocument/2006/relationships/hyperlink" Target="https://securly.atlassian.net/browse/FILTER-13733" TargetMode="External" Id="rId99" /><Relationship Type="http://schemas.openxmlformats.org/officeDocument/2006/relationships/hyperlink" Target="https://securly.atlassian.net/browse/FILTER-13742" TargetMode="External" Id="rId100" /><Relationship Type="http://schemas.openxmlformats.org/officeDocument/2006/relationships/hyperlink" Target="https://securly.atlassian.net/browse/FILTER-13750" TargetMode="External" Id="rId101" /><Relationship Type="http://schemas.openxmlformats.org/officeDocument/2006/relationships/hyperlink" Target="https://securly.atlassian.net/browse/FILTER-13762" TargetMode="External" Id="rId102" /><Relationship Type="http://schemas.openxmlformats.org/officeDocument/2006/relationships/hyperlink" Target="https://securly.atlassian.net/browse/FILTER-12450" TargetMode="External" Id="rId103" /><Relationship Type="http://schemas.openxmlformats.org/officeDocument/2006/relationships/hyperlink" Target="https://securly.atlassian.net/browse/FILTER-12458" TargetMode="External" Id="rId104" /><Relationship Type="http://schemas.openxmlformats.org/officeDocument/2006/relationships/hyperlink" Target="https://securly.atlassian.net/browse/FILTER-12795" TargetMode="External" Id="rId105" /><Relationship Type="http://schemas.openxmlformats.org/officeDocument/2006/relationships/hyperlink" Target="https://securly.atlassian.net/browse/FILTER-12851" TargetMode="External" Id="rId106" /><Relationship Type="http://schemas.openxmlformats.org/officeDocument/2006/relationships/hyperlink" Target="https://securly.atlassian.net/browse/FILTER-13034" TargetMode="External" Id="rId107" /><Relationship Type="http://schemas.openxmlformats.org/officeDocument/2006/relationships/hyperlink" Target="https://securly.atlassian.net/browse/FILTER-11355" TargetMode="External" Id="rId108" /><Relationship Type="http://schemas.openxmlformats.org/officeDocument/2006/relationships/hyperlink" Target="https://securly.atlassian.net/browse/FILTER-11381" TargetMode="External" Id="rId109" /><Relationship Type="http://schemas.openxmlformats.org/officeDocument/2006/relationships/hyperlink" Target="https://securly.atlassian.net/browse/FILTER-12229" TargetMode="External" Id="rId110" /><Relationship Type="http://schemas.openxmlformats.org/officeDocument/2006/relationships/hyperlink" Target="https://securly.atlassian.net/browse/FILTER-12394" TargetMode="External" Id="rId111" /><Relationship Type="http://schemas.openxmlformats.org/officeDocument/2006/relationships/hyperlink" Target="https://securly.atlassian.net/browse/FILTER-13336" TargetMode="External" Id="rId112" /><Relationship Type="http://schemas.openxmlformats.org/officeDocument/2006/relationships/hyperlink" Target="https://securly.atlassian.net/browse/FILTER-12513" TargetMode="External" Id="rId113" /><Relationship Type="http://schemas.openxmlformats.org/officeDocument/2006/relationships/hyperlink" Target="https://securly.atlassian.net/browse/FILTER-12849" TargetMode="External" Id="rId114" /><Relationship Type="http://schemas.openxmlformats.org/officeDocument/2006/relationships/hyperlink" Target="https://securly.atlassian.net/browse/FILTER-11994" TargetMode="External" Id="rId115" /><Relationship Type="http://schemas.openxmlformats.org/officeDocument/2006/relationships/hyperlink" Target="https://securly.atlassian.net/browse/FILTER-13508" TargetMode="External" Id="rId116" /><Relationship Type="http://schemas.openxmlformats.org/officeDocument/2006/relationships/hyperlink" Target="https://securly.atlassian.net/browse/FILTER-13731" TargetMode="External" Id="rId117" /><Relationship Type="http://schemas.openxmlformats.org/officeDocument/2006/relationships/hyperlink" Target="https://securly.atlassian.net/browse/FILTER-13763" TargetMode="External" Id="rId118" /><Relationship Type="http://schemas.openxmlformats.org/officeDocument/2006/relationships/hyperlink" Target="https://securly.atlassian.net/browse/FILTER-13764" TargetMode="External" Id="rId119" /><Relationship Type="http://schemas.openxmlformats.org/officeDocument/2006/relationships/hyperlink" Target="https://securly.atlassian.net/browse/FILTER-13771" TargetMode="External" Id="rId120" /><Relationship Type="http://schemas.openxmlformats.org/officeDocument/2006/relationships/hyperlink" Target="https://securly.atlassian.net/browse/FILTER-13800" TargetMode="External" Id="rId121" /><Relationship Type="http://schemas.openxmlformats.org/officeDocument/2006/relationships/hyperlink" Target="https://securly.atlassian.net/browse/FILTER-11149" TargetMode="External" Id="rId122" /><Relationship Type="http://schemas.openxmlformats.org/officeDocument/2006/relationships/hyperlink" Target="https://securly.atlassian.net/browse/FILTER-11383" TargetMode="External" Id="rId123" /><Relationship Type="http://schemas.openxmlformats.org/officeDocument/2006/relationships/hyperlink" Target="https://securly.atlassian.net/browse/FILTER-11657" TargetMode="External" Id="rId124" /><Relationship Type="http://schemas.openxmlformats.org/officeDocument/2006/relationships/hyperlink" Target="https://securly.atlassian.net/browse/FILTER-12230" TargetMode="External" Id="rId125" /><Relationship Type="http://schemas.openxmlformats.org/officeDocument/2006/relationships/hyperlink" Target="https://securly.atlassian.net/browse/FILTER-12719" TargetMode="External" Id="rId126" /><Relationship Type="http://schemas.openxmlformats.org/officeDocument/2006/relationships/hyperlink" Target="https://securly.atlassian.net/browse/FILTER-12720" TargetMode="External" Id="rId127" /><Relationship Type="http://schemas.openxmlformats.org/officeDocument/2006/relationships/hyperlink" Target="https://securly.atlassian.net/browse/FILTER-13107" TargetMode="External" Id="rId128" /><Relationship Type="http://schemas.openxmlformats.org/officeDocument/2006/relationships/hyperlink" Target="https://securly.atlassian.net/browse/FILTER-13647" TargetMode="External" Id="rId129" /><Relationship Type="http://schemas.openxmlformats.org/officeDocument/2006/relationships/hyperlink" Target="https://securly.atlassian.net/browse/FILTER-12242" TargetMode="External" Id="rId130" /><Relationship Type="http://schemas.openxmlformats.org/officeDocument/2006/relationships/hyperlink" Target="https://securly.atlassian.net/browse/FILTER-13378" TargetMode="External" Id="rId131" /><Relationship Type="http://schemas.openxmlformats.org/officeDocument/2006/relationships/hyperlink" Target="https://securly.atlassian.net/browse/FILTER-13583" TargetMode="External" Id="rId132" /><Relationship Type="http://schemas.openxmlformats.org/officeDocument/2006/relationships/hyperlink" Target="https://securly.atlassian.net/browse/FILTER-11533" TargetMode="External" Id="rId133" /><Relationship Type="http://schemas.openxmlformats.org/officeDocument/2006/relationships/hyperlink" Target="https://securly.atlassian.net/browse/FILTER-11535" TargetMode="External" Id="rId134" /><Relationship Type="http://schemas.openxmlformats.org/officeDocument/2006/relationships/hyperlink" Target="https://securly.atlassian.net/browse/FILTER-11659" TargetMode="External" Id="rId135" /><Relationship Type="http://schemas.openxmlformats.org/officeDocument/2006/relationships/hyperlink" Target="https://securly.atlassian.net/browse/FILTER-11954" TargetMode="External" Id="rId136" /><Relationship Type="http://schemas.openxmlformats.org/officeDocument/2006/relationships/hyperlink" Target="https://securly.atlassian.net/browse/FILTER-12301" TargetMode="External" Id="rId137" /><Relationship Type="http://schemas.openxmlformats.org/officeDocument/2006/relationships/hyperlink" Target="https://securly.atlassian.net/browse/FILTER-12445" TargetMode="External" Id="rId138" /><Relationship Type="http://schemas.openxmlformats.org/officeDocument/2006/relationships/hyperlink" Target="https://securly.atlassian.net/browse/FILTER-12701" TargetMode="External" Id="rId139" /><Relationship Type="http://schemas.openxmlformats.org/officeDocument/2006/relationships/hyperlink" Target="https://securly.atlassian.net/browse/FILTER-12769" TargetMode="External" Id="rId140" /><Relationship Type="http://schemas.openxmlformats.org/officeDocument/2006/relationships/hyperlink" Target="https://securly.atlassian.net/browse/FILTER-12797" TargetMode="External" Id="rId141" /><Relationship Type="http://schemas.openxmlformats.org/officeDocument/2006/relationships/hyperlink" Target="https://securly.atlassian.net/browse/FILTER-12865" TargetMode="External" Id="rId142" /><Relationship Type="http://schemas.openxmlformats.org/officeDocument/2006/relationships/hyperlink" Target="https://securly.atlassian.net/browse/FILTER-12869" TargetMode="External" Id="rId143" /><Relationship Type="http://schemas.openxmlformats.org/officeDocument/2006/relationships/hyperlink" Target="https://securly.atlassian.net/browse/FILTER-12893" TargetMode="External" Id="rId144" /><Relationship Type="http://schemas.openxmlformats.org/officeDocument/2006/relationships/hyperlink" Target="https://securly.atlassian.net/browse/FILTER-12901" TargetMode="External" Id="rId145" /><Relationship Type="http://schemas.openxmlformats.org/officeDocument/2006/relationships/hyperlink" Target="https://securly.atlassian.net/browse/FILTER-12937" TargetMode="External" Id="rId146" /><Relationship Type="http://schemas.openxmlformats.org/officeDocument/2006/relationships/hyperlink" Target="https://securly.atlassian.net/browse/FILTER-12998" TargetMode="External" Id="rId147" /><Relationship Type="http://schemas.openxmlformats.org/officeDocument/2006/relationships/hyperlink" Target="https://securly.atlassian.net/browse/FILTER-13032" TargetMode="External" Id="rId148" /><Relationship Type="http://schemas.openxmlformats.org/officeDocument/2006/relationships/hyperlink" Target="https://securly.atlassian.net/browse/FILTER-13299" TargetMode="External" Id="rId149" /><Relationship Type="http://schemas.openxmlformats.org/officeDocument/2006/relationships/hyperlink" Target="https://securly.atlassian.net/browse/FILTER-13311" TargetMode="External" Id="rId150" /><Relationship Type="http://schemas.openxmlformats.org/officeDocument/2006/relationships/hyperlink" Target="https://securly.atlassian.net/browse/FILTER-13345" TargetMode="External" Id="rId151" /><Relationship Type="http://schemas.openxmlformats.org/officeDocument/2006/relationships/hyperlink" Target="https://securly.atlassian.net/browse/FILTER-13353" TargetMode="External" Id="rId152" /><Relationship Type="http://schemas.openxmlformats.org/officeDocument/2006/relationships/hyperlink" Target="https://securly.atlassian.net/browse/FILTER-13516" TargetMode="External" Id="rId153" /><Relationship Type="http://schemas.openxmlformats.org/officeDocument/2006/relationships/hyperlink" Target="https://securly.atlassian.net/browse/FILTER-13712" TargetMode="External" Id="rId154" /><Relationship Type="http://schemas.openxmlformats.org/officeDocument/2006/relationships/hyperlink" Target="https://securly.atlassian.net/browse/FILTER-13716" TargetMode="External" Id="rId155" /><Relationship Type="http://schemas.openxmlformats.org/officeDocument/2006/relationships/hyperlink" Target="https://securly.atlassian.net/browse/FILTER-12038" TargetMode="External" Id="rId156" /><Relationship Type="http://schemas.openxmlformats.org/officeDocument/2006/relationships/hyperlink" Target="https://securly.atlassian.net/browse/FILTER-12418" TargetMode="External" Id="rId157" /><Relationship Type="http://schemas.openxmlformats.org/officeDocument/2006/relationships/hyperlink" Target="https://securly.atlassian.net/browse/FILTER-12456" TargetMode="External" Id="rId158" /><Relationship Type="http://schemas.openxmlformats.org/officeDocument/2006/relationships/hyperlink" Target="https://securly.atlassian.net/browse/FILTER-12540" TargetMode="External" Id="rId159" /><Relationship Type="http://schemas.openxmlformats.org/officeDocument/2006/relationships/hyperlink" Target="https://securly.atlassian.net/browse/FILTER-12793" TargetMode="External" Id="rId160" /><Relationship Type="http://schemas.openxmlformats.org/officeDocument/2006/relationships/hyperlink" Target="https://securly.atlassian.net/browse/FILTER-12821" TargetMode="External" Id="rId161" /><Relationship Type="http://schemas.openxmlformats.org/officeDocument/2006/relationships/hyperlink" Target="https://securly.atlassian.net/browse/FILTER-13106" TargetMode="External" Id="rId162" /><Relationship Type="http://schemas.openxmlformats.org/officeDocument/2006/relationships/hyperlink" Target="https://securly.atlassian.net/browse/FILTER-12144" TargetMode="External" Id="rId163" /><Relationship Type="http://schemas.openxmlformats.org/officeDocument/2006/relationships/hyperlink" Target="https://securly.atlassian.net/browse/FILTER-13443" TargetMode="External" Id="rId164" /><Relationship Type="http://schemas.openxmlformats.org/officeDocument/2006/relationships/hyperlink" Target="https://securly.atlassian.net/browse/FILTER-13483" TargetMode="External" Id="rId165" /><Relationship Type="http://schemas.openxmlformats.org/officeDocument/2006/relationships/hyperlink" Target="https://securly.atlassian.net/browse/FILTER-13487" TargetMode="External" Id="rId166" /><Relationship Type="http://schemas.openxmlformats.org/officeDocument/2006/relationships/hyperlink" Target="https://securly.atlassian.net/browse/FILTER-13491" TargetMode="External" Id="rId167" /><Relationship Type="http://schemas.openxmlformats.org/officeDocument/2006/relationships/hyperlink" Target="https://securly.atlassian.net/browse/FILTER-13519" TargetMode="External" Id="rId168" /><Relationship Type="http://schemas.openxmlformats.org/officeDocument/2006/relationships/hyperlink" Target="https://securly.atlassian.net/browse/FILTER-13527" TargetMode="External" Id="rId169" /><Relationship Type="http://schemas.openxmlformats.org/officeDocument/2006/relationships/hyperlink" Target="https://securly.atlassian.net/browse/FILTER-13551" TargetMode="External" Id="rId170" /><Relationship Type="http://schemas.openxmlformats.org/officeDocument/2006/relationships/hyperlink" Target="https://securly.atlassian.net/browse/FILTER-13558" TargetMode="External" Id="rId171" /><Relationship Type="http://schemas.openxmlformats.org/officeDocument/2006/relationships/hyperlink" Target="https://securly.atlassian.net/browse/FILTER-13564" TargetMode="External" Id="rId172" /><Relationship Type="http://schemas.openxmlformats.org/officeDocument/2006/relationships/hyperlink" Target="https://securly.atlassian.net/browse/FILTER-13588" TargetMode="External" Id="rId173" /><Relationship Type="http://schemas.openxmlformats.org/officeDocument/2006/relationships/hyperlink" Target="https://securly.atlassian.net/browse/FILTER-13602" TargetMode="External" Id="rId174" /><Relationship Type="http://schemas.openxmlformats.org/officeDocument/2006/relationships/hyperlink" Target="https://securly.atlassian.net/browse/FILTER-13636" TargetMode="External" Id="rId175" /><Relationship Type="http://schemas.openxmlformats.org/officeDocument/2006/relationships/hyperlink" Target="https://securly.atlassian.net/browse/FILTER-13760" TargetMode="External" Id="rId176" /><Relationship Type="http://schemas.openxmlformats.org/officeDocument/2006/relationships/hyperlink" Target="https://securly.atlassian.net/browse/FILTER-12185" TargetMode="External" Id="rId177" /><Relationship Type="http://schemas.openxmlformats.org/officeDocument/2006/relationships/hyperlink" Target="https://securly.atlassian.net/browse/FILTER-12324" TargetMode="External" Id="rId178" /><Relationship Type="http://schemas.openxmlformats.org/officeDocument/2006/relationships/hyperlink" Target="https://securly.atlassian.net/browse/FILTER-13096" TargetMode="External" Id="rId179" /><Relationship Type="http://schemas.openxmlformats.org/officeDocument/2006/relationships/hyperlink" Target="https://securly.atlassian.net/browse/FILTER-13400" TargetMode="External" Id="rId180" /><Relationship Type="http://schemas.openxmlformats.org/officeDocument/2006/relationships/hyperlink" Target="https://securly.atlassian.net/browse/FILTER-13504" TargetMode="External" Id="rId181" /><Relationship Type="http://schemas.openxmlformats.org/officeDocument/2006/relationships/hyperlink" Target="https://securly.atlassian.net/browse/FILTER-13543" TargetMode="External" Id="rId182" /><Relationship Type="http://schemas.openxmlformats.org/officeDocument/2006/relationships/hyperlink" Target="https://securly.atlassian.net/browse/FILTER-13740" TargetMode="External" Id="rId183" /><Relationship Type="http://schemas.openxmlformats.org/officeDocument/2006/relationships/hyperlink" Target="https://securly.atlassian.net/browse/FILTER-13748" TargetMode="External" Id="rId184" /><Relationship Type="http://schemas.openxmlformats.org/officeDocument/2006/relationships/hyperlink" Target="https://securly.atlassian.net/browse/FILTER-13783" TargetMode="External" Id="rId185" /><Relationship Type="http://schemas.openxmlformats.org/officeDocument/2006/relationships/hyperlink" Target="https://securly.atlassian.net/browse/FILTER-13786" TargetMode="External" Id="rId186" /><Relationship Type="http://schemas.openxmlformats.org/officeDocument/2006/relationships/hyperlink" Target="https://securly.atlassian.net/browse/FILTER-10462" TargetMode="External" Id="rId187" /><Relationship Type="http://schemas.openxmlformats.org/officeDocument/2006/relationships/hyperlink" Target="https://securly.atlassian.net/browse/FILTER-12703" TargetMode="External" Id="rId188" /><Relationship Type="http://schemas.openxmlformats.org/officeDocument/2006/relationships/hyperlink" Target="https://securly.atlassian.net/browse/FILTER-12773" TargetMode="External" Id="rId189" /><Relationship Type="http://schemas.openxmlformats.org/officeDocument/2006/relationships/hyperlink" Target="https://securly.atlassian.net/browse/FILTER-12777" TargetMode="External" Id="rId190" /><Relationship Type="http://schemas.openxmlformats.org/officeDocument/2006/relationships/hyperlink" Target="https://securly.atlassian.net/browse/FILTER-12857" TargetMode="External" Id="rId191" /><Relationship Type="http://schemas.openxmlformats.org/officeDocument/2006/relationships/hyperlink" Target="https://securly.atlassian.net/browse/FILTER-12873" TargetMode="External" Id="rId192" /><Relationship Type="http://schemas.openxmlformats.org/officeDocument/2006/relationships/hyperlink" Target="https://securly.atlassian.net/browse/FILTER-12885" TargetMode="External" Id="rId193" /><Relationship Type="http://schemas.openxmlformats.org/officeDocument/2006/relationships/hyperlink" Target="https://securly.atlassian.net/browse/FILTER-12889" TargetMode="External" Id="rId194" /><Relationship Type="http://schemas.openxmlformats.org/officeDocument/2006/relationships/hyperlink" Target="https://securly.atlassian.net/browse/FILTER-12897" TargetMode="External" Id="rId195" /><Relationship Type="http://schemas.openxmlformats.org/officeDocument/2006/relationships/hyperlink" Target="https://securly.atlassian.net/browse/FILTER-12905" TargetMode="External" Id="rId196" /><Relationship Type="http://schemas.openxmlformats.org/officeDocument/2006/relationships/hyperlink" Target="https://securly.atlassian.net/browse/FILTER-12909" TargetMode="External" Id="rId197" /><Relationship Type="http://schemas.openxmlformats.org/officeDocument/2006/relationships/hyperlink" Target="https://securly.atlassian.net/browse/FILTER-12933" TargetMode="External" Id="rId198" /><Relationship Type="http://schemas.openxmlformats.org/officeDocument/2006/relationships/hyperlink" Target="https://securly.atlassian.net/browse/FILTER-13455" TargetMode="External" Id="rId199" /><Relationship Type="http://schemas.openxmlformats.org/officeDocument/2006/relationships/hyperlink" Target="https://securly.atlassian.net/browse/FILTER-13459" TargetMode="External" Id="rId200" /><Relationship Type="http://schemas.openxmlformats.org/officeDocument/2006/relationships/hyperlink" Target="https://securly.atlassian.net/browse/FILTER-13463" TargetMode="External" Id="rId201" /><Relationship Type="http://schemas.openxmlformats.org/officeDocument/2006/relationships/hyperlink" Target="https://securly.atlassian.net/browse/FILTER-13517" TargetMode="External" Id="rId202" /><Relationship Type="http://schemas.openxmlformats.org/officeDocument/2006/relationships/hyperlink" Target="https://securly.atlassian.net/browse/FILTER-11536" TargetMode="External" Id="rId203" /><Relationship Type="http://schemas.openxmlformats.org/officeDocument/2006/relationships/hyperlink" Target="https://securly.atlassian.net/browse/FILTER-11661" TargetMode="External" Id="rId204" /><Relationship Type="http://schemas.openxmlformats.org/officeDocument/2006/relationships/hyperlink" Target="https://securly.atlassian.net/browse/FILTER-11748" TargetMode="External" Id="rId205" /><Relationship Type="http://schemas.openxmlformats.org/officeDocument/2006/relationships/hyperlink" Target="https://securly.atlassian.net/browse/FILTER-12186" TargetMode="External" Id="rId206" /><Relationship Type="http://schemas.openxmlformats.org/officeDocument/2006/relationships/hyperlink" Target="https://securly.atlassian.net/browse/FILTER-12798" TargetMode="External" Id="rId207" /><Relationship Type="http://schemas.openxmlformats.org/officeDocument/2006/relationships/hyperlink" Target="https://securly.atlassian.net/browse/FILTER-13050" TargetMode="External" Id="rId208" /><Relationship Type="http://schemas.openxmlformats.org/officeDocument/2006/relationships/hyperlink" Target="https://securly.atlassian.net/browse/FILTER-13078" TargetMode="External" Id="rId209" /><Relationship Type="http://schemas.openxmlformats.org/officeDocument/2006/relationships/hyperlink" Target="https://securly.atlassian.net/browse/FILTER-13079" TargetMode="External" Id="rId210" /><Relationship Type="http://schemas.openxmlformats.org/officeDocument/2006/relationships/hyperlink" Target="https://securly.atlassian.net/browse/FILTER-13288" TargetMode="External" Id="rId211" /><Relationship Type="http://schemas.openxmlformats.org/officeDocument/2006/relationships/hyperlink" Target="https://securly.atlassian.net/browse/FILTER-13289" TargetMode="External" Id="rId212" /><Relationship Type="http://schemas.openxmlformats.org/officeDocument/2006/relationships/hyperlink" Target="https://securly.atlassian.net/browse/FILTER-13300" TargetMode="External" Id="rId213" /><Relationship Type="http://schemas.openxmlformats.org/officeDocument/2006/relationships/hyperlink" Target="https://securly.atlassian.net/browse/FILTER-13312" TargetMode="External" Id="rId214" /><Relationship Type="http://schemas.openxmlformats.org/officeDocument/2006/relationships/hyperlink" Target="https://securly.atlassian.net/browse/FILTER-13346" TargetMode="External" Id="rId215" /><Relationship Type="http://schemas.openxmlformats.org/officeDocument/2006/relationships/hyperlink" Target="https://securly.atlassian.net/browse/FILTER-13354" TargetMode="External" Id="rId216" /><Relationship Type="http://schemas.openxmlformats.org/officeDocument/2006/relationships/hyperlink" Target="https://securly.atlassian.net/browse/FILTER-13444" TargetMode="External" Id="rId217" /><Relationship Type="http://schemas.openxmlformats.org/officeDocument/2006/relationships/hyperlink" Target="https://securly.atlassian.net/browse/FILTER-13484" TargetMode="External" Id="rId218" /><Relationship Type="http://schemas.openxmlformats.org/officeDocument/2006/relationships/hyperlink" Target="https://securly.atlassian.net/browse/FILTER-13488" TargetMode="External" Id="rId219" /><Relationship Type="http://schemas.openxmlformats.org/officeDocument/2006/relationships/hyperlink" Target="https://securly.atlassian.net/browse/FILTER-13492" TargetMode="External" Id="rId220" /><Relationship Type="http://schemas.openxmlformats.org/officeDocument/2006/relationships/hyperlink" Target="https://securly.atlassian.net/browse/FILTER-13505" TargetMode="External" Id="rId221" /><Relationship Type="http://schemas.openxmlformats.org/officeDocument/2006/relationships/hyperlink" Target="https://securly.atlassian.net/browse/FILTER-13509" TargetMode="External" Id="rId222" /><Relationship Type="http://schemas.openxmlformats.org/officeDocument/2006/relationships/hyperlink" Target="https://securly.atlassian.net/browse/FILTER-13520" TargetMode="External" Id="rId223" /><Relationship Type="http://schemas.openxmlformats.org/officeDocument/2006/relationships/hyperlink" Target="https://securly.atlassian.net/browse/FILTER-13528" TargetMode="External" Id="rId224" /><Relationship Type="http://schemas.openxmlformats.org/officeDocument/2006/relationships/hyperlink" Target="https://securly.atlassian.net/browse/FILTER-13552" TargetMode="External" Id="rId225" /><Relationship Type="http://schemas.openxmlformats.org/officeDocument/2006/relationships/hyperlink" Target="https://securly.atlassian.net/browse/FILTER-13559" TargetMode="External" Id="rId226" /><Relationship Type="http://schemas.openxmlformats.org/officeDocument/2006/relationships/hyperlink" Target="https://securly.atlassian.net/browse/FILTER-13560" TargetMode="External" Id="rId227" /><Relationship Type="http://schemas.openxmlformats.org/officeDocument/2006/relationships/hyperlink" Target="https://securly.atlassian.net/browse/FILTER-13565" TargetMode="External" Id="rId228" /><Relationship Type="http://schemas.openxmlformats.org/officeDocument/2006/relationships/hyperlink" Target="https://securly.atlassian.net/browse/FILTER-13566" TargetMode="External" Id="rId229" /><Relationship Type="http://schemas.openxmlformats.org/officeDocument/2006/relationships/hyperlink" Target="https://securly.atlassian.net/browse/FILTER-13589" TargetMode="External" Id="rId230" /><Relationship Type="http://schemas.openxmlformats.org/officeDocument/2006/relationships/hyperlink" Target="https://securly.atlassian.net/browse/FILTER-13603" TargetMode="External" Id="rId231" /><Relationship Type="http://schemas.openxmlformats.org/officeDocument/2006/relationships/hyperlink" Target="https://securly.atlassian.net/browse/FILTER-13637" TargetMode="External" Id="rId232" /><Relationship Type="http://schemas.openxmlformats.org/officeDocument/2006/relationships/hyperlink" Target="https://securly.atlassian.net/browse/FILTER-13732" TargetMode="External" Id="rId233" /><Relationship Type="http://schemas.openxmlformats.org/officeDocument/2006/relationships/hyperlink" Target="https://securly.atlassian.net/browse/FILTER-13626" TargetMode="External" Id="rId234" /><Relationship Type="http://schemas.openxmlformats.org/officeDocument/2006/relationships/hyperlink" Target="https://securly.atlassian.net/browse/FILTER-11655" TargetMode="External" Id="rId235" /><Relationship Type="http://schemas.openxmlformats.org/officeDocument/2006/relationships/hyperlink" Target="https://securly.atlassian.net/browse/FILTER-12177" TargetMode="External" Id="rId236" /><Relationship Type="http://schemas.openxmlformats.org/officeDocument/2006/relationships/hyperlink" Target="https://securly.atlassian.net/browse/FILTER-12448" TargetMode="External" Id="rId237" /><Relationship Type="http://schemas.openxmlformats.org/officeDocument/2006/relationships/hyperlink" Target="https://securly.atlassian.net/browse/FILTER-12717" TargetMode="External" Id="rId238" /><Relationship Type="http://schemas.openxmlformats.org/officeDocument/2006/relationships/hyperlink" Target="https://securly.atlassian.net/browse/FILTER-13049" TargetMode="External" Id="rId239" /><Relationship Type="http://schemas.openxmlformats.org/officeDocument/2006/relationships/hyperlink" Target="https://securly.atlassian.net/browse/FILTER-13646" TargetMode="External" Id="rId240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3553" TargetMode="External" Id="rId1" /><Relationship Type="http://schemas.openxmlformats.org/officeDocument/2006/relationships/hyperlink" Target="https://securly.atlassian.net/browse/FILTER-13554" TargetMode="External" Id="rId2" /><Relationship Type="http://schemas.openxmlformats.org/officeDocument/2006/relationships/hyperlink" Target="https://securly.atlassian.net/browse/FDSE-155" TargetMode="External" Id="rId3" /><Relationship Type="http://schemas.openxmlformats.org/officeDocument/2006/relationships/hyperlink" Target="https://securly.atlassian.net/browse/FDSE-164" TargetMode="External" Id="rId4" /><Relationship Type="http://schemas.openxmlformats.org/officeDocument/2006/relationships/hyperlink" Target="https://securly.atlassian.net/browse/FILTER-12621" TargetMode="External" Id="rId5" /><Relationship Type="http://schemas.openxmlformats.org/officeDocument/2006/relationships/hyperlink" Target="https://securly.atlassian.net/browse/FILTER-12906" TargetMode="External" Id="rId6" /><Relationship Type="http://schemas.openxmlformats.org/officeDocument/2006/relationships/hyperlink" Target="https://securly.atlassian.net/browse/FILTER-13644" TargetMode="External" Id="rId7" /><Relationship Type="http://schemas.openxmlformats.org/officeDocument/2006/relationships/hyperlink" Target="https://securly.atlassian.net/browse/FILTER-13663" TargetMode="External" Id="rId8" /><Relationship Type="http://schemas.openxmlformats.org/officeDocument/2006/relationships/hyperlink" Target="https://securly.atlassian.net/browse/FILTER-13665" TargetMode="External" Id="rId9" /><Relationship Type="http://schemas.openxmlformats.org/officeDocument/2006/relationships/hyperlink" Target="https://securly.atlassian.net/browse/FILTER-13713" TargetMode="External" Id="rId10" /><Relationship Type="http://schemas.openxmlformats.org/officeDocument/2006/relationships/hyperlink" Target="https://securly.atlassian.net/browse/FILTER-13717" TargetMode="External" Id="rId11" /><Relationship Type="http://schemas.openxmlformats.org/officeDocument/2006/relationships/hyperlink" Target="https://securly.atlassian.net/browse/FILTER-13784" TargetMode="External" Id="rId12" /><Relationship Type="http://schemas.openxmlformats.org/officeDocument/2006/relationships/hyperlink" Target="https://securly.atlassian.net/browse/FILTER-13787" TargetMode="External" Id="rId13" /><Relationship Type="http://schemas.openxmlformats.org/officeDocument/2006/relationships/hyperlink" Target="https://securly.atlassian.net/browse/PTGM-701" TargetMode="External" Id="rId14" /><Relationship Type="http://schemas.openxmlformats.org/officeDocument/2006/relationships/hyperlink" Target="https://securly.atlassian.net/browse/FILTER-11844" TargetMode="External" Id="rId15" /><Relationship Type="http://schemas.openxmlformats.org/officeDocument/2006/relationships/hyperlink" Target="https://securly.atlassian.net/browse/FILTER-11873" TargetMode="External" Id="rId16" /><Relationship Type="http://schemas.openxmlformats.org/officeDocument/2006/relationships/hyperlink" Target="https://securly.atlassian.net/browse/FILTER-12179" TargetMode="External" Id="rId17" /><Relationship Type="http://schemas.openxmlformats.org/officeDocument/2006/relationships/hyperlink" Target="https://securly.atlassian.net/browse/FILTER-12515" TargetMode="External" Id="rId18" /><Relationship Type="http://schemas.openxmlformats.org/officeDocument/2006/relationships/hyperlink" Target="https://securly.atlassian.net/browse/FILTER-12622" TargetMode="External" Id="rId19" /><Relationship Type="http://schemas.openxmlformats.org/officeDocument/2006/relationships/hyperlink" Target="https://securly.atlassian.net/browse/FILTER-12823" TargetMode="External" Id="rId20" /><Relationship Type="http://schemas.openxmlformats.org/officeDocument/2006/relationships/hyperlink" Target="https://securly.atlassian.net/browse/FILTER-13098" TargetMode="External" Id="rId21" /><Relationship Type="http://schemas.openxmlformats.org/officeDocument/2006/relationships/hyperlink" Target="https://securly.atlassian.net/browse/FILTER-13120" TargetMode="External" Id="rId22" /><Relationship Type="http://schemas.openxmlformats.org/officeDocument/2006/relationships/hyperlink" Target="https://securly.atlassian.net/browse/FILTER-13338" TargetMode="External" Id="rId23" /><Relationship Type="http://schemas.openxmlformats.org/officeDocument/2006/relationships/hyperlink" Target="https://securly.atlassian.net/browse/FILTER-13481" TargetMode="External" Id="rId24" /><Relationship Type="http://schemas.openxmlformats.org/officeDocument/2006/relationships/hyperlink" Target="https://securly.atlassian.net/browse/FILTER-13714" TargetMode="External" Id="rId25" /><Relationship Type="http://schemas.openxmlformats.org/officeDocument/2006/relationships/hyperlink" Target="https://securly.atlassian.net/browse/FILTER-13718" TargetMode="External" Id="rId26" /><Relationship Type="http://schemas.openxmlformats.org/officeDocument/2006/relationships/hyperlink" Target="https://securly.atlassian.net/browse/FILTER-12542" TargetMode="External" Id="rId27" /><Relationship Type="http://schemas.openxmlformats.org/officeDocument/2006/relationships/hyperlink" Target="https://securly.atlassian.net/browse/FILTER-11483" TargetMode="External" Id="rId28" /><Relationship Type="http://schemas.openxmlformats.org/officeDocument/2006/relationships/hyperlink" Target="https://securly.atlassian.net/browse/FILTER-12282" TargetMode="External" Id="rId29" /><Relationship Type="http://schemas.openxmlformats.org/officeDocument/2006/relationships/hyperlink" Target="https://securly.atlassian.net/browse/FILTER-12620" TargetMode="External" Id="rId30" /><Relationship Type="http://schemas.openxmlformats.org/officeDocument/2006/relationships/hyperlink" Target="https://securly.atlassian.net/browse/FILTER-13826" TargetMode="External" Id="rId31" /><Relationship Type="http://schemas.openxmlformats.org/officeDocument/2006/relationships/hyperlink" Target="https://securly.atlassian.net/browse/FILTER-12516" TargetMode="External" Id="rId32" /><Relationship Type="http://schemas.openxmlformats.org/officeDocument/2006/relationships/hyperlink" Target="https://securly.atlassian.net/browse/FILTER-12517" TargetMode="External" Id="rId33" /><Relationship Type="http://schemas.openxmlformats.org/officeDocument/2006/relationships/hyperlink" Target="https://securly.atlassian.net/browse/FILTER-12518" TargetMode="External" Id="rId34" /><Relationship Type="http://schemas.openxmlformats.org/officeDocument/2006/relationships/hyperlink" Target="https://securly.atlassian.net/browse/FILTER-12519" TargetMode="External" Id="rId35" /><Relationship Type="http://schemas.openxmlformats.org/officeDocument/2006/relationships/hyperlink" Target="https://securly.atlassian.net/browse/FILTER-12520" TargetMode="External" Id="rId36" /><Relationship Type="http://schemas.openxmlformats.org/officeDocument/2006/relationships/hyperlink" Target="https://securly.atlassian.net/browse/FILTER-12521" TargetMode="External" Id="rId37" /><Relationship Type="http://schemas.openxmlformats.org/officeDocument/2006/relationships/hyperlink" Target="https://securly.atlassian.net/browse/FILTER-12522" TargetMode="External" Id="rId38" /><Relationship Type="http://schemas.openxmlformats.org/officeDocument/2006/relationships/hyperlink" Target="https://securly.atlassian.net/browse/FILTER-12523" TargetMode="External" Id="rId39" /><Relationship Type="http://schemas.openxmlformats.org/officeDocument/2006/relationships/hyperlink" Target="https://securly.atlassian.net/browse/FILTER-12524" TargetMode="External" Id="rId40" /><Relationship Type="http://schemas.openxmlformats.org/officeDocument/2006/relationships/hyperlink" Target="https://securly.atlassian.net/browse/FILTER-12525" TargetMode="External" Id="rId41" /><Relationship Type="http://schemas.openxmlformats.org/officeDocument/2006/relationships/hyperlink" Target="https://securly.atlassian.net/browse/FILTER-11485" TargetMode="External" Id="rId42" /><Relationship Type="http://schemas.openxmlformats.org/officeDocument/2006/relationships/hyperlink" Target="https://securly.atlassian.net/browse/FILTER-12178" TargetMode="External" Id="rId43" /><Relationship Type="http://schemas.openxmlformats.org/officeDocument/2006/relationships/hyperlink" Target="https://securly.atlassian.net/browse/FILTER-12283" TargetMode="External" Id="rId44" /><Relationship Type="http://schemas.openxmlformats.org/officeDocument/2006/relationships/hyperlink" Target="https://securly.atlassian.net/browse/FILTER-12395" TargetMode="External" Id="rId45" /><Relationship Type="http://schemas.openxmlformats.org/officeDocument/2006/relationships/hyperlink" Target="https://securly.atlassian.net/browse/FILTER-12429" TargetMode="External" Id="rId46" /><Relationship Type="http://schemas.openxmlformats.org/officeDocument/2006/relationships/hyperlink" Target="https://securly.atlassian.net/browse/FILTER-12449" TargetMode="External" Id="rId47" /><Relationship Type="http://schemas.openxmlformats.org/officeDocument/2006/relationships/hyperlink" Target="https://securly.atlassian.net/browse/FILTER-12514" TargetMode="External" Id="rId48" /><Relationship Type="http://schemas.openxmlformats.org/officeDocument/2006/relationships/hyperlink" Target="https://securly.atlassian.net/browse/FILTER-12541" TargetMode="External" Id="rId49" /><Relationship Type="http://schemas.openxmlformats.org/officeDocument/2006/relationships/hyperlink" Target="https://securly.atlassian.net/browse/FILTER-13119" TargetMode="External" Id="rId50" /><Relationship Type="http://schemas.openxmlformats.org/officeDocument/2006/relationships/hyperlink" Target="https://securly.atlassian.net/browse/FILTER-13337" TargetMode="External" Id="rId51" /><Relationship Type="http://schemas.openxmlformats.org/officeDocument/2006/relationships/hyperlink" Target="https://securly.atlassian.net/browse/FILTER-13658" TargetMode="External" Id="rId52" /><Relationship Type="http://schemas.openxmlformats.org/officeDocument/2006/relationships/hyperlink" Target="https://securly.atlassian.net/browse/FILTER-11843" TargetMode="External" Id="rId53" /><Relationship Type="http://schemas.openxmlformats.org/officeDocument/2006/relationships/hyperlink" Target="https://securly.atlassian.net/browse/FILTER-11872" TargetMode="External" Id="rId54" /><Relationship Type="http://schemas.openxmlformats.org/officeDocument/2006/relationships/hyperlink" Target="https://securly.atlassian.net/browse/PTGM-700" TargetMode="External" Id="rId55" /><Relationship Type="http://schemas.openxmlformats.org/officeDocument/2006/relationships/hyperlink" Target="https://securly.atlassian.net/browse/FILTER-12428" TargetMode="External" Id="rId56" /><Relationship Type="http://schemas.openxmlformats.org/officeDocument/2006/relationships/hyperlink" Target="https://securly.atlassian.net/browse/FILTER-13118" TargetMode="External" Id="rId57" /><Relationship Type="http://schemas.openxmlformats.org/officeDocument/2006/relationships/hyperlink" Target="https://securly.atlassian.net/browse/FILTER-13643" TargetMode="External" Id="rId58" /><Relationship Type="http://schemas.openxmlformats.org/officeDocument/2006/relationships/hyperlink" Target="https://securly.atlassian.net/browse/FILTER-13479" TargetMode="External" Id="rId59" /><Relationship Type="http://schemas.openxmlformats.org/officeDocument/2006/relationships/hyperlink" Target="https://securly.atlassian.net/browse/FILTER-13660" TargetMode="External" Id="rId60" /><Relationship Type="http://schemas.openxmlformats.org/officeDocument/2006/relationships/hyperlink" Target="https://securly.atlassian.net/browse/FILTER-13480" TargetMode="External" Id="rId61" /><Relationship Type="http://schemas.openxmlformats.org/officeDocument/2006/relationships/hyperlink" Target="https://securly.atlassian.net/browse/FDSE-163" TargetMode="External" Id="rId62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ILTER-13610" TargetMode="External" Id="rId1" /><Relationship Type="http://schemas.openxmlformats.org/officeDocument/2006/relationships/hyperlink" Target="https://securly.atlassian.net/browse/FILTER-10604" TargetMode="External" Id="rId2" /><Relationship Type="http://schemas.openxmlformats.org/officeDocument/2006/relationships/hyperlink" Target="https://securly.atlassian.net/browse/FILTER-11697" TargetMode="External" Id="rId3" /><Relationship Type="http://schemas.openxmlformats.org/officeDocument/2006/relationships/hyperlink" Target="https://securly.atlassian.net/browse/FILTER-13047" TargetMode="External" Id="rId4" /><Relationship Type="http://schemas.openxmlformats.org/officeDocument/2006/relationships/hyperlink" Target="https://securly.atlassian.net/browse/FILTER-12010" TargetMode="External" Id="rId5" /><Relationship Type="http://schemas.openxmlformats.org/officeDocument/2006/relationships/hyperlink" Target="https://securly.atlassian.net/browse/FILTER-7955" TargetMode="External" Id="rId6" /><Relationship Type="http://schemas.openxmlformats.org/officeDocument/2006/relationships/hyperlink" Target="https://securly.atlassian.net/browse/FILTER-12473" TargetMode="External" Id="rId7" /><Relationship Type="http://schemas.openxmlformats.org/officeDocument/2006/relationships/hyperlink" Target="https://securly.atlassian.net/browse/FILTER-13080" TargetMode="External" Id="rId8" /><Relationship Type="http://schemas.openxmlformats.org/officeDocument/2006/relationships/hyperlink" Target="https://securly.atlassian.net/browse/FILTER-12400" TargetMode="External" Id="rId9" /><Relationship Type="http://schemas.openxmlformats.org/officeDocument/2006/relationships/hyperlink" Target="https://securly.atlassian.net/browse/FILTER-10780" TargetMode="External" Id="rId10" /><Relationship Type="http://schemas.openxmlformats.org/officeDocument/2006/relationships/hyperlink" Target="https://securly.atlassian.net/browse/FILTER-13290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3117" TargetMode="External" Id="rId1" /><Relationship Type="http://schemas.openxmlformats.org/officeDocument/2006/relationships/hyperlink" Target="https://securly.atlassian.net/browse/FILTER-10053" TargetMode="External" Id="rId2" /><Relationship Type="http://schemas.openxmlformats.org/officeDocument/2006/relationships/hyperlink" Target="https://securly.atlassian.net/browse/FILTER-12119" TargetMode="External" Id="rId3" /><Relationship Type="http://schemas.openxmlformats.org/officeDocument/2006/relationships/hyperlink" Target="https://securly.atlassian.net/browse/FILTER-12476" TargetMode="External" Id="rId4" /><Relationship Type="http://schemas.openxmlformats.org/officeDocument/2006/relationships/hyperlink" Target="https://securly.atlassian.net/browse/FILTER-12619" TargetMode="External" Id="rId5" /><Relationship Type="http://schemas.openxmlformats.org/officeDocument/2006/relationships/hyperlink" Target="https://securly.atlassian.net/browse/FILTER-12010" TargetMode="External" Id="rId6" /><Relationship Type="http://schemas.openxmlformats.org/officeDocument/2006/relationships/hyperlink" Target="https://securly.atlassian.net/browse/FILTER-11654" TargetMode="External" Id="rId7" /><Relationship Type="http://schemas.openxmlformats.org/officeDocument/2006/relationships/hyperlink" Target="https://securly.atlassian.net/browse/FILTER-13105" TargetMode="External" Id="rId8" /><Relationship Type="http://schemas.openxmlformats.org/officeDocument/2006/relationships/hyperlink" Target="https://securly.atlassian.net/browse/FILTER-766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sprint-Hanna (Tue 14 Apr → Mon 27 Apr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t="inlineStr">
        <is>
          <t>Amol Mithari</t>
        </is>
      </c>
      <c r="B20" t="inlineStr">
        <is>
          <t>Auto QA Lead</t>
        </is>
      </c>
      <c r="C20" t="inlineStr">
        <is>
          <t>Team Lead — Auto QA / SDET</t>
        </is>
      </c>
      <c r="D20" s="4" t="n">
        <v>1</v>
      </c>
      <c r="E20" t="inlineStr">
        <is>
          <t>Lead</t>
        </is>
      </c>
      <c r="F20" t="inlineStr">
        <is>
          <t>FTE</t>
        </is>
      </c>
      <c r="G20" t="inlineStr"/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s="5" t="inlineStr">
        <is>
          <t>Rachit Mishra</t>
        </is>
      </c>
      <c r="B22" s="5" t="inlineStr">
        <is>
          <t>Auto QA</t>
        </is>
      </c>
      <c r="C22" s="5" t="inlineStr">
        <is>
          <t>SDET</t>
        </is>
      </c>
      <c r="D22" s="6" t="n">
        <v>0</v>
      </c>
      <c r="E22" s="5" t="inlineStr">
        <is>
          <t>Junior</t>
        </is>
      </c>
      <c r="F22" s="5" t="inlineStr">
        <is>
          <t>FTE</t>
        </is>
      </c>
      <c r="G22" s="5" t="inlineStr">
        <is>
          <t>Left team on 20-Feb-2026 — not part of this sprint</t>
        </is>
      </c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7" t="n">
        <v>10</v>
      </c>
      <c r="C27" t="inlineStr">
        <is>
          <t>FILTER 15-day sprint Tue → Mon. sprint-Hanna = 2026-04-14 → 2026-04-27.</t>
        </is>
      </c>
    </row>
    <row r="28">
      <c r="A28" t="inlineStr">
        <is>
          <t>Company holidays in sprint</t>
        </is>
      </c>
      <c r="B28" s="7" t="n">
        <v>0</v>
      </c>
      <c r="C28" t="inlineStr">
        <is>
          <t>India calendar 2026 — none in window</t>
        </is>
      </c>
    </row>
    <row r="29">
      <c r="A29" t="inlineStr">
        <is>
          <t>Effective working days (sprint − company holidays)</t>
        </is>
      </c>
      <c r="B29" s="8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9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9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10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11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7" t="n">
        <v>17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11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5 · FILTER: 471 · PTGM: 7</t>
        </is>
      </c>
    </row>
    <row r="38">
      <c r="A38" s="2" t="inlineStr">
        <is>
          <t>Capacity vs Actual Delivery — sprint-Hanna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11">
        <f>'Per-person Delivery'!F19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11">
        <f>'Per-person Delivery'!H19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11">
        <f>'Per-person Delivery'!I19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11">
        <f>'Per-person Delivery'!B19</f>
        <v/>
      </c>
      <c r="C43" s="12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11">
        <f>'Per-person Delivery'!C19</f>
        <v/>
      </c>
      <c r="C44" s="12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11">
        <f>'Per-person Delivery'!D19</f>
        <v/>
      </c>
      <c r="C45" s="12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3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8" t="n">
        <v>4</v>
      </c>
      <c r="C50" s="8" t="n">
        <v>13</v>
      </c>
      <c r="D50" s="11" t="n">
        <v>28.72</v>
      </c>
      <c r="E50" s="12">
        <f>IFERROR(D50/1005.36,"")</f>
        <v/>
      </c>
      <c r="F50" s="12">
        <f>IFERROR(B50/96,"")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8" t="n">
        <v>37</v>
      </c>
      <c r="C51" s="8" t="n">
        <v>98</v>
      </c>
      <c r="D51" s="11" t="n">
        <v>271.24</v>
      </c>
      <c r="E51" s="12">
        <f>IFERROR(D51/1005.36,"")</f>
        <v/>
      </c>
      <c r="F51" s="12">
        <f>IFERROR(B51/96,"")</f>
        <v/>
      </c>
      <c r="G51" s="14" t="inlineStr">
        <is>
          <t>P1 — high priority (see P1 Escalation tab for escalations)</t>
        </is>
      </c>
    </row>
    <row r="52">
      <c r="A52" t="inlineStr">
        <is>
          <t>P2</t>
        </is>
      </c>
      <c r="B52" s="8" t="n">
        <v>28</v>
      </c>
      <c r="C52" s="8" t="n">
        <v>67</v>
      </c>
      <c r="D52" s="11" t="n">
        <v>308.74</v>
      </c>
      <c r="E52" s="12">
        <f>IFERROR(D52/1005.36,"")</f>
        <v/>
      </c>
      <c r="F52" s="12">
        <f>IFERROR(B52/96,"")</f>
        <v/>
      </c>
      <c r="G52" t="inlineStr">
        <is>
          <t>Major</t>
        </is>
      </c>
    </row>
    <row r="53">
      <c r="A53" t="inlineStr">
        <is>
          <t>P3</t>
        </is>
      </c>
      <c r="B53" s="8" t="n">
        <v>26</v>
      </c>
      <c r="C53" s="8" t="n">
        <v>60</v>
      </c>
      <c r="D53" s="11" t="n">
        <v>371.66</v>
      </c>
      <c r="E53" s="12">
        <f>IFERROR(D53/1005.36,"")</f>
        <v/>
      </c>
      <c r="F53" s="12">
        <f>IFERROR(B53/96,"")</f>
        <v/>
      </c>
      <c r="G53" t="inlineStr">
        <is>
          <t>Standard</t>
        </is>
      </c>
    </row>
    <row r="54">
      <c r="A54" t="inlineStr">
        <is>
          <t>P4</t>
        </is>
      </c>
      <c r="B54" s="8" t="n">
        <v>1</v>
      </c>
      <c r="C54" s="8" t="n">
        <v>2</v>
      </c>
      <c r="D54" s="11" t="n">
        <v>25</v>
      </c>
      <c r="E54" s="12">
        <f>IFERROR(D54/1005.36,"")</f>
        <v/>
      </c>
      <c r="F54" s="12">
        <f>IFERROR(B54/96,"")</f>
        <v/>
      </c>
      <c r="G54" t="inlineStr">
        <is>
          <t>Minor / nice-to-have</t>
        </is>
      </c>
    </row>
    <row r="55">
      <c r="A55" s="2" t="inlineStr">
        <is>
          <t>TOTAL</t>
        </is>
      </c>
      <c r="B55" s="8" t="n">
        <v>96</v>
      </c>
      <c r="C55" s="8" t="n">
        <v>240</v>
      </c>
      <c r="D55" s="11" t="n">
        <v>1005.36</v>
      </c>
      <c r="E55" s="12" t="n">
        <v>1</v>
      </c>
      <c r="F55" s="12" t="n">
        <v>1</v>
      </c>
      <c r="G55" t="inlineStr">
        <is>
          <t>Sum of Completed bucket (core roster)</t>
        </is>
      </c>
    </row>
    <row r="57">
      <c r="A57" s="2" t="inlineStr">
        <is>
          <t>Sprint Completion (spillover = Not Completed)</t>
        </is>
      </c>
    </row>
    <row r="58">
      <c r="A58" s="3" t="inlineStr">
        <is>
          <t>Metric</t>
        </is>
      </c>
      <c r="B58" s="3" t="inlineStr">
        <is>
          <t>Tickets</t>
        </is>
      </c>
      <c r="C58" s="3" t="inlineStr">
        <is>
          <t>Planned Hrs (OE)</t>
        </is>
      </c>
      <c r="D58" s="3" t="inlineStr">
        <is>
          <t>% by Tickets</t>
        </is>
      </c>
      <c r="E58" s="3" t="inlineStr">
        <is>
          <t>% by Hrs</t>
        </is>
      </c>
      <c r="F58" s="3" t="inlineStr">
        <is>
          <t>Notes</t>
        </is>
      </c>
    </row>
    <row r="59">
      <c r="A59" t="inlineStr">
        <is>
          <t>Completed (closed in sprint)</t>
        </is>
      </c>
      <c r="B59" s="8" t="n">
        <v>240</v>
      </c>
      <c r="C59" s="11" t="n">
        <v>1006</v>
      </c>
      <c r="D59" s="12">
        <f>IFERROR(240/302,"")</f>
        <v/>
      </c>
      <c r="E59" s="12">
        <f>IFERROR(1006.0/1217.0,"")</f>
        <v/>
      </c>
      <c r="F59" t="inlineStr">
        <is>
          <t>In-sprint deliverables</t>
        </is>
      </c>
    </row>
    <row r="60">
      <c r="A60" t="inlineStr">
        <is>
          <t>Spillover (not completed → carry-over)</t>
        </is>
      </c>
      <c r="B60" s="8" t="n">
        <v>62</v>
      </c>
      <c r="C60" s="11" t="n">
        <v>211</v>
      </c>
      <c r="D60" s="12">
        <f>IFERROR(62/302,"")</f>
        <v/>
      </c>
      <c r="E60" s="12">
        <f>IFERROR(211.0/1217.0,"")</f>
        <v/>
      </c>
      <c r="F60" t="inlineStr">
        <is>
          <t>Original estimate carried to next sprint</t>
        </is>
      </c>
    </row>
    <row r="61">
      <c r="A61" t="inlineStr">
        <is>
          <t>Removed (mid-sprint scope cut)</t>
        </is>
      </c>
      <c r="B61" s="8" t="n">
        <v>11</v>
      </c>
      <c r="C61" s="11" t="n">
        <v>48</v>
      </c>
      <c r="D61" t="inlineStr">
        <is>
          <t>—</t>
        </is>
      </c>
      <c r="E61" t="inlineStr">
        <is>
          <t>—</t>
        </is>
      </c>
      <c r="F61" t="inlineStr">
        <is>
          <t>Excluded from completion ratio (out of scope)</t>
        </is>
      </c>
    </row>
    <row r="62">
      <c r="A62" t="inlineStr">
        <is>
          <t>Mid-sprint additions (core)</t>
        </is>
      </c>
      <c r="B62" s="8" t="n">
        <v>23</v>
      </c>
      <c r="D62" t="inlineStr">
        <is>
          <t>—</t>
        </is>
      </c>
      <c r="E62" t="inlineStr">
        <is>
          <t>—</t>
        </is>
      </c>
      <c r="F62" t="inlineStr">
        <is>
          <t>Late-arriving work (Jira issueKeysAddedDuringSprint)</t>
        </is>
      </c>
    </row>
    <row r="64">
      <c r="A64" s="2" t="inlineStr">
        <is>
          <t>Sprint completion rate (tickets)</t>
        </is>
      </c>
      <c r="B64" s="12" t="n">
        <v>0.7947019867549668</v>
      </c>
      <c r="C64" s="15" t="inlineStr">
        <is>
          <t>Below Target</t>
        </is>
      </c>
      <c r="D64" s="16" t="inlineStr">
        <is>
          <t>Completed ÷ (Completed + Spillover)</t>
        </is>
      </c>
    </row>
    <row r="65">
      <c r="A65" s="2" t="inlineStr">
        <is>
          <t>Sprint completion rate (planned hrs)</t>
        </is>
      </c>
      <c r="B65" s="12" t="n">
        <v>0.8266228430566968</v>
      </c>
      <c r="C65" s="15" t="inlineStr">
        <is>
          <t>Below Target</t>
        </is>
      </c>
      <c r="D65" s="16" t="inlineStr">
        <is>
          <t>Σ OE Completed ÷ Σ OE (Completed + Spillover)</t>
        </is>
      </c>
    </row>
    <row r="66">
      <c r="A66" s="2" t="inlineStr">
        <is>
          <t>Planned completion rate (tickets, excludes mid-sprint adds)</t>
        </is>
      </c>
      <c r="B66" s="12" t="n">
        <v>0.7979094076655052</v>
      </c>
      <c r="C66" s="15" t="inlineStr">
        <is>
          <t>Below Target</t>
        </is>
      </c>
      <c r="D66" s="16" t="inlineStr">
        <is>
          <t>Originally-committed tickets only</t>
        </is>
      </c>
    </row>
    <row r="67">
      <c r="A67" s="2" t="inlineStr">
        <is>
          <t>Planned completion rate (planned hrs, excludes mid-sprint adds)</t>
        </is>
      </c>
      <c r="B67" s="12" t="n">
        <v>0.8938053097345132</v>
      </c>
      <c r="C67" s="17" t="inlineStr">
        <is>
          <t>On Target</t>
        </is>
      </c>
      <c r="D67" s="16" t="inlineStr">
        <is>
          <t>Originally-committed planned hours only</t>
        </is>
      </c>
    </row>
    <row r="69">
      <c r="A69" s="18" t="inlineStr">
        <is>
          <t>P1 Escalation snapshot</t>
        </is>
      </c>
    </row>
    <row r="70">
      <c r="A70" s="14" t="inlineStr">
        <is>
          <t>9 ticket(s) in sprint-Hanna match 'P1 Escalation' in the title — 4 closed, 5 still open. See the 'P1 Escalation' tab.</t>
        </is>
      </c>
    </row>
    <row r="72">
      <c r="A72" s="19" t="inlineStr">
        <is>
          <t>Mid-sprint additions snapshot</t>
        </is>
      </c>
    </row>
    <row r="73" ht="36" customHeight="1">
      <c r="A73" s="20" t="inlineStr">
        <is>
          <t>23 ticket(s) were added to sprint-Hanna after it started (issueKeysAddedDuringSprint) — Completed 11, Spillover 4, Removed 8. Highlighted in amber on every detail sheet (Added Mid-Sprint = YES).</t>
        </is>
      </c>
    </row>
    <row r="75">
      <c r="A75" s="2" t="inlineStr">
        <is>
          <t>Assumptions &amp; caveats</t>
        </is>
      </c>
    </row>
    <row r="76" ht="32" customHeight="1">
      <c r="A76" s="21" t="inlineStr">
        <is>
          <t>• Sprint window from Jira (/rest/agile/1.0/sprint/6292): 2026-04-14 → 2026-04-27 (10 Mon–Fri working days). Refresh with fetch_filter_sprint_meta.py + fetch_filter_sprint_issues.py.</t>
        </is>
      </c>
    </row>
    <row r="77" ht="32" customHeight="1">
      <c r="A77" s="21" t="inlineStr">
        <is>
          <t>• Issues pulled from FILTER + PTGM + FDSE (project-scope expanded for the India scrum team's split across the three products).</t>
        </is>
      </c>
    </row>
    <row r="78" ht="32" customHeight="1">
      <c r="A78" s="21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9" ht="32" customHeight="1">
      <c r="A79" s="21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80" ht="32" customHeight="1">
      <c r="A80" s="21" t="inlineStr">
        <is>
          <t>• Net Available = Available − 20% Misc Buffer for meetings, scrums, code review, etc. Completed/Not Completed/Removed % of capacity use Net Available as the denominator.</t>
        </is>
      </c>
    </row>
    <row r="81" ht="32" customHeight="1">
      <c r="A81" s="21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2" ht="32" customHeight="1">
      <c r="A82" s="21" t="inlineStr">
        <is>
          <t>• Not Completed and Removed totals use Original Estimate.</t>
        </is>
      </c>
    </row>
    <row r="83" ht="32" customHeight="1">
      <c r="A83" s="21" t="inlineStr">
        <is>
          <t>• Removed list comes from the Sprint Report puntedIssues (greenhopper API).</t>
        </is>
      </c>
    </row>
    <row r="84" ht="32" customHeight="1">
      <c r="A84" s="21" t="inlineStr">
        <is>
          <t>• Core roster only: assignees outside Securly-PjM-Skills.md Part 2 are dropped from per-person + detail sheets.</t>
        </is>
      </c>
    </row>
    <row r="85" ht="32" customHeight="1">
      <c r="A85" s="21" t="inlineStr">
        <is>
          <t>• P1 Escalation tab is filtered to Issue Type = Escape Defect AND Priority = P1 AND title contains 'P1 Escalation'.</t>
        </is>
      </c>
    </row>
    <row r="86" ht="32" customHeight="1">
      <c r="A86" s="21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7" ht="32" customHeight="1">
      <c r="A87" s="21" t="inlineStr">
        <is>
          <t>• Spillover = Not Completed bucket (tickets carried into the next sprint).</t>
        </is>
      </c>
    </row>
    <row r="88" ht="32" customHeight="1">
      <c r="A88" s="21" t="inlineStr">
        <is>
          <t>• Sprint completion rate uses Completed ÷ (Completed + Spillover); Removed tickets are excluded (treated as scope cut). 'Planned' rate also excludes mid-sprint additions.</t>
        </is>
      </c>
    </row>
    <row r="89" ht="32" customHeight="1">
      <c r="A89" s="21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90" ht="32" customHeight="1">
      <c r="A90" s="21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D67:G67"/>
    <mergeCell ref="A81:G81"/>
    <mergeCell ref="A77:G77"/>
    <mergeCell ref="A83:G83"/>
    <mergeCell ref="A48:G48"/>
    <mergeCell ref="A82:G82"/>
    <mergeCell ref="A73:G73"/>
    <mergeCell ref="A1:G1"/>
    <mergeCell ref="D65:G65"/>
    <mergeCell ref="A70:G70"/>
    <mergeCell ref="A79:G79"/>
    <mergeCell ref="A88:G88"/>
    <mergeCell ref="A69:G69"/>
    <mergeCell ref="A87:G87"/>
    <mergeCell ref="A78:G78"/>
    <mergeCell ref="A25:G25"/>
    <mergeCell ref="A90:G90"/>
    <mergeCell ref="A84:G84"/>
    <mergeCell ref="A85:G85"/>
    <mergeCell ref="A89:G89"/>
    <mergeCell ref="A80:G80"/>
    <mergeCell ref="D66:G66"/>
    <mergeCell ref="A2:G2"/>
    <mergeCell ref="A86:G86"/>
    <mergeCell ref="A57:G57"/>
    <mergeCell ref="A76:G76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22" t="inlineStr">
        <is>
          <t>Assignee</t>
        </is>
      </c>
      <c r="B1" s="22" t="inlineStr">
        <is>
          <t>Completed (hrs)</t>
        </is>
      </c>
      <c r="C1" s="22" t="inlineStr">
        <is>
          <t>Not Completed (hrs)</t>
        </is>
      </c>
      <c r="D1" s="22" t="inlineStr">
        <is>
          <t>Removed (hrs)</t>
        </is>
      </c>
      <c r="E1" s="22" t="inlineStr">
        <is>
          <t>Efficiency</t>
        </is>
      </c>
      <c r="F1" s="22" t="inlineStr">
        <is>
          <t>Available (hrs)</t>
        </is>
      </c>
      <c r="G1" s="22" t="inlineStr">
        <is>
          <t>Leave Days (sprint)</t>
        </is>
      </c>
      <c r="H1" s="22" t="inlineStr">
        <is>
          <t>Misc Buffer 20% (hrs)</t>
        </is>
      </c>
      <c r="I1" s="22" t="inlineStr">
        <is>
          <t>Net Available (hrs)</t>
        </is>
      </c>
    </row>
    <row r="2">
      <c r="A2" t="inlineStr">
        <is>
          <t>Harsh Verma</t>
        </is>
      </c>
      <c r="B2" s="11" t="n">
        <v>57</v>
      </c>
      <c r="C2" s="11" t="n">
        <v>0</v>
      </c>
      <c r="D2" s="11" t="n">
        <v>48</v>
      </c>
      <c r="E2" s="12">
        <f>IFERROR(B2/I2,"")</f>
        <v/>
      </c>
      <c r="F2" s="11" t="n">
        <v>72</v>
      </c>
      <c r="G2" s="8" t="n">
        <v>0</v>
      </c>
      <c r="H2" s="11">
        <f>F2*0.2</f>
        <v/>
      </c>
      <c r="I2" s="11">
        <f>F2-H2</f>
        <v/>
      </c>
    </row>
    <row r="3">
      <c r="A3" t="inlineStr">
        <is>
          <t>Arun Thakur</t>
        </is>
      </c>
      <c r="B3" s="11" t="n">
        <v>9</v>
      </c>
      <c r="C3" s="11" t="n">
        <v>18</v>
      </c>
      <c r="D3" s="11" t="n">
        <v>0</v>
      </c>
      <c r="E3" s="12">
        <f>IFERROR(B3/I3,"")</f>
        <v/>
      </c>
      <c r="F3" s="11" t="n">
        <v>64.8</v>
      </c>
      <c r="G3" s="8" t="n">
        <v>1</v>
      </c>
      <c r="H3" s="11">
        <f>F3*0.2</f>
        <v/>
      </c>
      <c r="I3" s="11">
        <f>F3-H3</f>
        <v/>
      </c>
    </row>
    <row r="4">
      <c r="A4" t="inlineStr">
        <is>
          <t>Harshada Kude</t>
        </is>
      </c>
      <c r="B4" s="11" t="n">
        <v>49.5</v>
      </c>
      <c r="C4" s="11" t="n">
        <v>14</v>
      </c>
      <c r="D4" s="11" t="n">
        <v>0</v>
      </c>
      <c r="E4" s="12">
        <f>IFERROR(B4/I4,"")</f>
        <v/>
      </c>
      <c r="F4" s="11" t="n">
        <v>64.8</v>
      </c>
      <c r="G4" s="8" t="n">
        <v>1</v>
      </c>
      <c r="H4" s="11">
        <f>F4*0.2</f>
        <v/>
      </c>
      <c r="I4" s="11">
        <f>F4-H4</f>
        <v/>
      </c>
    </row>
    <row r="5">
      <c r="A5" t="inlineStr">
        <is>
          <t>Shailendra Singh</t>
        </is>
      </c>
      <c r="B5" s="11" t="n">
        <v>54</v>
      </c>
      <c r="C5" s="11" t="n">
        <v>10</v>
      </c>
      <c r="D5" s="11" t="n">
        <v>0</v>
      </c>
      <c r="E5" s="12">
        <f>IFERROR(B5/I5,"")</f>
        <v/>
      </c>
      <c r="F5" s="11" t="n">
        <v>72</v>
      </c>
      <c r="G5" s="8" t="n">
        <v>0</v>
      </c>
      <c r="H5" s="11">
        <f>F5*0.2</f>
        <v/>
      </c>
      <c r="I5" s="11">
        <f>F5-H5</f>
        <v/>
      </c>
    </row>
    <row r="6">
      <c r="A6" t="inlineStr">
        <is>
          <t>Swaroop Chavhan</t>
        </is>
      </c>
      <c r="B6" s="11" t="n">
        <v>62</v>
      </c>
      <c r="C6" s="11" t="n">
        <v>52</v>
      </c>
      <c r="D6" s="11" t="n">
        <v>0</v>
      </c>
      <c r="E6" s="12">
        <f>IFERROR(B6/I6,"")</f>
        <v/>
      </c>
      <c r="F6" s="11" t="n">
        <v>72</v>
      </c>
      <c r="G6" s="8" t="n">
        <v>0</v>
      </c>
      <c r="H6" s="11">
        <f>F6*0.2</f>
        <v/>
      </c>
      <c r="I6" s="11">
        <f>F6-H6</f>
        <v/>
      </c>
    </row>
    <row r="7">
      <c r="A7" t="inlineStr">
        <is>
          <t>Ashish Modak</t>
        </is>
      </c>
      <c r="B7" s="11" t="n">
        <v>18</v>
      </c>
      <c r="C7" s="11" t="n">
        <v>16</v>
      </c>
      <c r="D7" s="11" t="n">
        <v>0</v>
      </c>
      <c r="E7" s="12">
        <f>IFERROR(B7/I7,"")</f>
        <v/>
      </c>
      <c r="F7" s="11" t="n">
        <v>72</v>
      </c>
      <c r="G7" s="8" t="n">
        <v>0</v>
      </c>
      <c r="H7" s="11">
        <f>F7*0.2</f>
        <v/>
      </c>
      <c r="I7" s="11">
        <f>F7-H7</f>
        <v/>
      </c>
    </row>
    <row r="8">
      <c r="A8" t="inlineStr">
        <is>
          <t>Prateek Fotedar</t>
        </is>
      </c>
      <c r="B8" s="11" t="n">
        <v>115.5</v>
      </c>
      <c r="C8" s="11" t="n">
        <v>20</v>
      </c>
      <c r="D8" s="11" t="n">
        <v>0</v>
      </c>
      <c r="E8" s="12">
        <f>IFERROR(B8/I8,"")</f>
        <v/>
      </c>
      <c r="F8" s="11" t="n">
        <v>72</v>
      </c>
      <c r="G8" s="8" t="n">
        <v>0</v>
      </c>
      <c r="H8" s="11">
        <f>F8*0.2</f>
        <v/>
      </c>
      <c r="I8" s="11">
        <f>F8-H8</f>
        <v/>
      </c>
    </row>
    <row r="9">
      <c r="A9" t="inlineStr">
        <is>
          <t>Sagar Satpute</t>
        </is>
      </c>
      <c r="B9" s="11" t="n">
        <v>81</v>
      </c>
      <c r="C9" s="11" t="n">
        <v>0</v>
      </c>
      <c r="D9" s="11" t="n">
        <v>0</v>
      </c>
      <c r="E9" s="12">
        <f>IFERROR(B9/I9,"")</f>
        <v/>
      </c>
      <c r="F9" s="11" t="n">
        <v>72</v>
      </c>
      <c r="G9" s="8" t="n">
        <v>0</v>
      </c>
      <c r="H9" s="11">
        <f>F9*0.2</f>
        <v/>
      </c>
      <c r="I9" s="11">
        <f>F9-H9</f>
        <v/>
      </c>
    </row>
    <row r="10">
      <c r="A10" t="inlineStr">
        <is>
          <t>Vaibhav Kumbhar</t>
        </is>
      </c>
      <c r="B10" s="11" t="n">
        <v>73</v>
      </c>
      <c r="C10" s="11" t="n">
        <v>0</v>
      </c>
      <c r="D10" s="11" t="n">
        <v>0</v>
      </c>
      <c r="E10" s="12">
        <f>IFERROR(B10/I10,"")</f>
        <v/>
      </c>
      <c r="F10" s="11" t="n">
        <v>57.6</v>
      </c>
      <c r="G10" s="8" t="n">
        <v>2</v>
      </c>
      <c r="H10" s="11">
        <f>F10*0.2</f>
        <v/>
      </c>
      <c r="I10" s="11">
        <f>F10-H10</f>
        <v/>
      </c>
    </row>
    <row r="11">
      <c r="A11" t="inlineStr">
        <is>
          <t>Ashish Temurnikar</t>
        </is>
      </c>
      <c r="B11" s="11" t="n">
        <v>26.42</v>
      </c>
      <c r="C11" s="11" t="n">
        <v>0</v>
      </c>
      <c r="D11" s="11" t="n">
        <v>0</v>
      </c>
      <c r="E11" s="12">
        <f>IFERROR(B11/I11,"")</f>
        <v/>
      </c>
      <c r="F11" s="11" t="n">
        <v>64.8</v>
      </c>
      <c r="G11" s="8" t="n">
        <v>1</v>
      </c>
      <c r="H11" s="11">
        <f>F11*0.2</f>
        <v/>
      </c>
      <c r="I11" s="11">
        <f>F11-H11</f>
        <v/>
      </c>
    </row>
    <row r="12">
      <c r="A12" t="inlineStr">
        <is>
          <t>Ravi Raj</t>
        </is>
      </c>
      <c r="B12" s="11" t="n">
        <v>50</v>
      </c>
      <c r="C12" s="11" t="n">
        <v>0</v>
      </c>
      <c r="D12" s="11" t="n">
        <v>0</v>
      </c>
      <c r="E12" s="12">
        <f>IFERROR(B12/I12,"")</f>
        <v/>
      </c>
      <c r="F12" s="11" t="n">
        <v>72</v>
      </c>
      <c r="G12" s="8" t="n">
        <v>0</v>
      </c>
      <c r="H12" s="11">
        <f>F12*0.2</f>
        <v/>
      </c>
      <c r="I12" s="11">
        <f>F12-H12</f>
        <v/>
      </c>
    </row>
    <row r="13">
      <c r="A13" t="inlineStr">
        <is>
          <t>Pratik Tiwari</t>
        </is>
      </c>
      <c r="B13" s="11" t="n">
        <v>81</v>
      </c>
      <c r="C13" s="11" t="n">
        <v>4</v>
      </c>
      <c r="D13" s="11" t="n">
        <v>0</v>
      </c>
      <c r="E13" s="12">
        <f>IFERROR(B13/I13,"")</f>
        <v/>
      </c>
      <c r="F13" s="11" t="n">
        <v>57.6</v>
      </c>
      <c r="G13" s="8" t="n">
        <v>2</v>
      </c>
      <c r="H13" s="11">
        <f>F13*0.2</f>
        <v/>
      </c>
      <c r="I13" s="11">
        <f>F13-H13</f>
        <v/>
      </c>
    </row>
    <row r="14">
      <c r="A14" t="inlineStr">
        <is>
          <t>Altamash Heroli</t>
        </is>
      </c>
      <c r="B14" s="11" t="n">
        <v>28.94</v>
      </c>
      <c r="C14" s="11" t="n">
        <v>0</v>
      </c>
      <c r="D14" s="11" t="n">
        <v>0</v>
      </c>
      <c r="E14" s="12">
        <f>IFERROR(B14/I14,"")</f>
        <v/>
      </c>
      <c r="F14" s="11" t="n">
        <v>72</v>
      </c>
      <c r="G14" s="8" t="n">
        <v>0</v>
      </c>
      <c r="H14" s="11">
        <f>F14*0.2</f>
        <v/>
      </c>
      <c r="I14" s="11">
        <f>F14-H14</f>
        <v/>
      </c>
    </row>
    <row r="15">
      <c r="A15" t="inlineStr">
        <is>
          <t>Surabhi Choudhary</t>
        </is>
      </c>
      <c r="B15" s="11" t="n">
        <v>201.5</v>
      </c>
      <c r="C15" s="11" t="n">
        <v>0</v>
      </c>
      <c r="D15" s="11" t="n">
        <v>0</v>
      </c>
      <c r="E15" s="12">
        <f>IFERROR(B15/I15,"")</f>
        <v/>
      </c>
      <c r="F15" s="11" t="n">
        <v>72</v>
      </c>
      <c r="G15" s="8" t="n">
        <v>0</v>
      </c>
      <c r="H15" s="11">
        <f>F15*0.2</f>
        <v/>
      </c>
      <c r="I15" s="11">
        <f>F15-H15</f>
        <v/>
      </c>
    </row>
    <row r="16">
      <c r="A16" t="inlineStr">
        <is>
          <t>Ayesha Kamde</t>
        </is>
      </c>
      <c r="B16" s="11" t="n">
        <v>46.5</v>
      </c>
      <c r="C16" s="11" t="n">
        <v>13</v>
      </c>
      <c r="D16" s="11" t="n">
        <v>0</v>
      </c>
      <c r="E16" s="12">
        <f>IFERROR(B16/I16,"")</f>
        <v/>
      </c>
      <c r="F16" s="11" t="n">
        <v>72</v>
      </c>
      <c r="G16" s="8" t="n">
        <v>0</v>
      </c>
      <c r="H16" s="11">
        <f>F16*0.2</f>
        <v/>
      </c>
      <c r="I16" s="11">
        <f>F16-H16</f>
        <v/>
      </c>
    </row>
    <row r="17">
      <c r="A17" t="inlineStr">
        <is>
          <t>Amol Mithari</t>
        </is>
      </c>
      <c r="B17" s="11" t="n">
        <v>16</v>
      </c>
      <c r="C17" s="11" t="n">
        <v>47</v>
      </c>
      <c r="D17" s="11" t="n">
        <v>0</v>
      </c>
      <c r="E17" s="12">
        <f>IFERROR(B17/I17,"")</f>
        <v/>
      </c>
      <c r="F17" s="11" t="n">
        <v>72</v>
      </c>
      <c r="G17" s="8" t="n">
        <v>0</v>
      </c>
      <c r="H17" s="11">
        <f>F17*0.2</f>
        <v/>
      </c>
      <c r="I17" s="11">
        <f>F17-H17</f>
        <v/>
      </c>
    </row>
    <row r="18">
      <c r="A18" t="inlineStr">
        <is>
          <t>Amit Shete</t>
        </is>
      </c>
      <c r="B18" s="11" t="n">
        <v>36</v>
      </c>
      <c r="C18" s="11" t="n">
        <v>17</v>
      </c>
      <c r="D18" s="11" t="n">
        <v>0</v>
      </c>
      <c r="E18" s="12">
        <f>IFERROR(B18/I18,"")</f>
        <v/>
      </c>
      <c r="F18" s="11" t="n">
        <v>64.8</v>
      </c>
      <c r="G18" s="8" t="n">
        <v>1</v>
      </c>
      <c r="H18" s="11">
        <f>F18*0.2</f>
        <v/>
      </c>
      <c r="I18" s="11">
        <f>F18-H18</f>
        <v/>
      </c>
    </row>
    <row r="19">
      <c r="A19" s="2" t="inlineStr">
        <is>
          <t>TOTAL</t>
        </is>
      </c>
      <c r="B19" s="11">
        <f>SUM(B2:B18)</f>
        <v/>
      </c>
      <c r="C19" s="11">
        <f>SUM(C2:C18)</f>
        <v/>
      </c>
      <c r="D19" s="11">
        <f>SUM(D2:D18)</f>
        <v/>
      </c>
      <c r="E19" s="12">
        <f>IFERROR(B19/I19,"")</f>
        <v/>
      </c>
      <c r="F19" s="11">
        <f>SUM(F2:F18)</f>
        <v/>
      </c>
      <c r="G19" s="8">
        <f>SUM(G2:G18)</f>
        <v/>
      </c>
      <c r="H19" s="11">
        <f>SUM(H2:H18)</f>
        <v/>
      </c>
      <c r="I19" s="11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3" t="inlineStr">
        <is>
          <t>Escape Defect</t>
        </is>
      </c>
      <c r="B2" s="24" t="inlineStr">
        <is>
          <t>FILTER-13743</t>
        </is>
      </c>
      <c r="C2" s="25" t="inlineStr">
        <is>
          <t>Filter &gt;&gt; Download, Email, and Scheduled reports are not working.</t>
        </is>
      </c>
      <c r="D2" s="23" t="inlineStr"/>
      <c r="E2" s="23" t="inlineStr"/>
      <c r="F2" s="23" t="inlineStr">
        <is>
          <t>Altamash Heroli</t>
        </is>
      </c>
      <c r="G2" s="23" t="inlineStr">
        <is>
          <t>RELEASED TO PROD</t>
        </is>
      </c>
      <c r="H2" s="23" t="inlineStr">
        <is>
          <t>Fixed</t>
        </is>
      </c>
      <c r="I2" s="23" t="inlineStr">
        <is>
          <t>P0</t>
        </is>
      </c>
      <c r="J2" s="26" t="n">
        <v>46135</v>
      </c>
      <c r="K2" s="26" t="n">
        <v>46136</v>
      </c>
      <c r="L2" s="26" t="n">
        <v>46139</v>
      </c>
      <c r="M2" s="23" t="inlineStr">
        <is>
          <t>sprint-Hanna</t>
        </is>
      </c>
      <c r="N2" s="27" t="n">
        <v>0.2</v>
      </c>
      <c r="O2" s="27" t="n">
        <v>5</v>
      </c>
      <c r="P2" s="23" t="inlineStr">
        <is>
          <t>FILTER</t>
        </is>
      </c>
      <c r="Q2" s="23" t="inlineStr"/>
      <c r="R2" s="23" t="inlineStr"/>
      <c r="S2" s="28" t="inlineStr">
        <is>
          <t>YES</t>
        </is>
      </c>
    </row>
    <row r="3">
      <c r="A3" s="23" t="inlineStr">
        <is>
          <t>Debug</t>
        </is>
      </c>
      <c r="B3" s="24" t="inlineStr">
        <is>
          <t>FILTER-13801</t>
        </is>
      </c>
      <c r="C3" s="25" t="inlineStr">
        <is>
          <t>Helping team on Accessibility, PR reveiw, Technical discussions and sprint-palnning</t>
        </is>
      </c>
      <c r="D3" s="23" t="inlineStr"/>
      <c r="E3" s="23" t="inlineStr"/>
      <c r="F3" s="23" t="inlineStr">
        <is>
          <t>Harsh Verma</t>
        </is>
      </c>
      <c r="G3" s="23" t="inlineStr">
        <is>
          <t>Closed</t>
        </is>
      </c>
      <c r="H3" s="23" t="inlineStr"/>
      <c r="I3" s="23" t="inlineStr">
        <is>
          <t>P2</t>
        </is>
      </c>
      <c r="J3" s="26" t="n">
        <v>46139</v>
      </c>
      <c r="K3" s="23" t="n"/>
      <c r="L3" s="26" t="n">
        <v>46139</v>
      </c>
      <c r="M3" s="23" t="inlineStr">
        <is>
          <t>sprint-Hanna</t>
        </is>
      </c>
      <c r="N3" s="27" t="n">
        <v>21</v>
      </c>
      <c r="O3" s="27" t="n">
        <v>20</v>
      </c>
      <c r="P3" s="23" t="inlineStr">
        <is>
          <t>FILTER</t>
        </is>
      </c>
      <c r="Q3" s="23" t="inlineStr">
        <is>
          <t>unplanned-sprint</t>
        </is>
      </c>
      <c r="R3" s="23" t="inlineStr"/>
      <c r="S3" s="28" t="inlineStr">
        <is>
          <t>YES</t>
        </is>
      </c>
    </row>
    <row r="4">
      <c r="A4" s="23" t="inlineStr">
        <is>
          <t>Task</t>
        </is>
      </c>
      <c r="B4" s="24" t="inlineStr">
        <is>
          <t>FDSE-173</t>
        </is>
      </c>
      <c r="C4" s="25" t="inlineStr">
        <is>
          <t>Mentioned issue fixes on different components</t>
        </is>
      </c>
      <c r="D4" s="23" t="inlineStr"/>
      <c r="E4" s="23" t="inlineStr"/>
      <c r="F4" s="23" t="inlineStr">
        <is>
          <t>Harshada Kude</t>
        </is>
      </c>
      <c r="G4" s="23" t="inlineStr">
        <is>
          <t>Resolved</t>
        </is>
      </c>
      <c r="H4" s="23" t="inlineStr">
        <is>
          <t>Fixed</t>
        </is>
      </c>
      <c r="I4" s="23" t="inlineStr">
        <is>
          <t>P2</t>
        </is>
      </c>
      <c r="J4" s="26" t="n">
        <v>46125</v>
      </c>
      <c r="K4" s="26" t="n">
        <v>46135</v>
      </c>
      <c r="L4" s="26" t="n">
        <v>46135</v>
      </c>
      <c r="M4" s="23" t="inlineStr">
        <is>
          <t>sprint-Hanna</t>
        </is>
      </c>
      <c r="N4" s="27" t="n">
        <v>19</v>
      </c>
      <c r="O4" s="27" t="n">
        <v>16</v>
      </c>
      <c r="P4" s="23" t="inlineStr">
        <is>
          <t>FDSE</t>
        </is>
      </c>
      <c r="Q4" s="23" t="inlineStr"/>
      <c r="R4" s="23" t="inlineStr"/>
      <c r="S4" s="28" t="inlineStr">
        <is>
          <t>YES</t>
        </is>
      </c>
    </row>
    <row r="5">
      <c r="A5" s="23" t="inlineStr">
        <is>
          <t>Task</t>
        </is>
      </c>
      <c r="B5" s="24" t="inlineStr">
        <is>
          <t>FILTER-12244</t>
        </is>
      </c>
      <c r="C5" s="25" t="inlineStr">
        <is>
          <t>Need code changes to keep more versions of UI artifacts - Part 2</t>
        </is>
      </c>
      <c r="D5" s="23" t="inlineStr"/>
      <c r="E5" s="23" t="inlineStr"/>
      <c r="F5" s="23" t="inlineStr">
        <is>
          <t>Harshada Kude</t>
        </is>
      </c>
      <c r="G5" s="23" t="inlineStr">
        <is>
          <t>Resolved</t>
        </is>
      </c>
      <c r="H5" s="23" t="inlineStr">
        <is>
          <t>Fixed</t>
        </is>
      </c>
      <c r="I5" s="23" t="inlineStr">
        <is>
          <t>P3</t>
        </is>
      </c>
      <c r="J5" s="26" t="n">
        <v>46079</v>
      </c>
      <c r="K5" s="26" t="n">
        <v>46139</v>
      </c>
      <c r="L5" s="26" t="n">
        <v>46140</v>
      </c>
      <c r="M5" s="23" t="inlineStr">
        <is>
          <t>sprint-Hanna</t>
        </is>
      </c>
      <c r="N5" s="27" t="n">
        <v>13.5</v>
      </c>
      <c r="O5" s="27" t="n">
        <v>10</v>
      </c>
      <c r="P5" s="23" t="inlineStr">
        <is>
          <t>FILTER</t>
        </is>
      </c>
      <c r="Q5" s="23" t="inlineStr">
        <is>
          <t>unplanned-sprint</t>
        </is>
      </c>
      <c r="R5" s="23" t="inlineStr"/>
      <c r="S5" s="28" t="inlineStr">
        <is>
          <t>YES</t>
        </is>
      </c>
    </row>
    <row r="6">
      <c r="A6" s="23" t="inlineStr">
        <is>
          <t>Task</t>
        </is>
      </c>
      <c r="B6" s="24" t="inlineStr">
        <is>
          <t>FILTER-13621</t>
        </is>
      </c>
      <c r="C6" s="25" t="inlineStr">
        <is>
          <t>Filter Translation Regression Testing on SM</t>
        </is>
      </c>
      <c r="D6" s="23" t="inlineStr"/>
      <c r="E6" s="23" t="inlineStr"/>
      <c r="F6" s="23" t="inlineStr">
        <is>
          <t>Harshada Kude</t>
        </is>
      </c>
      <c r="G6" s="23" t="inlineStr">
        <is>
          <t>Closed</t>
        </is>
      </c>
      <c r="H6" s="23" t="inlineStr"/>
      <c r="I6" s="23" t="inlineStr">
        <is>
          <t>P2</t>
        </is>
      </c>
      <c r="J6" s="26" t="n">
        <v>46129</v>
      </c>
      <c r="K6" s="23" t="n"/>
      <c r="L6" s="26" t="n">
        <v>46139</v>
      </c>
      <c r="M6" s="23" t="inlineStr">
        <is>
          <t>sprint-Hanna</t>
        </is>
      </c>
      <c r="N6" s="27" t="n">
        <v>4</v>
      </c>
      <c r="O6" s="27" t="n">
        <v>4</v>
      </c>
      <c r="P6" s="23" t="inlineStr">
        <is>
          <t>FILTER</t>
        </is>
      </c>
      <c r="Q6" s="23" t="inlineStr">
        <is>
          <t>unplanned-sprint</t>
        </is>
      </c>
      <c r="R6" s="23" t="inlineStr"/>
      <c r="S6" s="28" t="inlineStr">
        <is>
          <t>YES</t>
        </is>
      </c>
    </row>
    <row r="7">
      <c r="A7" s="23" t="inlineStr">
        <is>
          <t>Task</t>
        </is>
      </c>
      <c r="B7" s="24" t="inlineStr">
        <is>
          <t>FILTER-12796</t>
        </is>
      </c>
      <c r="C7" s="25" t="inlineStr">
        <is>
          <t>Update Cron Job for tokenization</t>
        </is>
      </c>
      <c r="D7" s="23" t="inlineStr"/>
      <c r="E7" s="23" t="inlineStr"/>
      <c r="F7" s="23" t="inlineStr">
        <is>
          <t>Prateek Fotedar</t>
        </is>
      </c>
      <c r="G7" s="23" t="inlineStr">
        <is>
          <t>QA Verified</t>
        </is>
      </c>
      <c r="H7" s="23" t="inlineStr">
        <is>
          <t>Fixed</t>
        </is>
      </c>
      <c r="I7" s="23" t="inlineStr">
        <is>
          <t>P3</t>
        </is>
      </c>
      <c r="J7" s="26" t="n">
        <v>46108</v>
      </c>
      <c r="K7" s="26" t="n">
        <v>46110</v>
      </c>
      <c r="L7" s="26" t="n">
        <v>46139</v>
      </c>
      <c r="M7" s="23" t="inlineStr">
        <is>
          <t>sprint-Hanna</t>
        </is>
      </c>
      <c r="N7" s="27" t="n">
        <v>1</v>
      </c>
      <c r="O7" s="27" t="n">
        <v>0</v>
      </c>
      <c r="P7" s="23" t="inlineStr">
        <is>
          <t>FILTER</t>
        </is>
      </c>
      <c r="Q7" s="23" t="inlineStr">
        <is>
          <t>unplanned-sprint</t>
        </is>
      </c>
      <c r="R7" s="23" t="inlineStr"/>
      <c r="S7" s="28" t="inlineStr">
        <is>
          <t>YES</t>
        </is>
      </c>
    </row>
    <row r="8">
      <c r="A8" s="23" t="inlineStr">
        <is>
          <t>Task</t>
        </is>
      </c>
      <c r="B8" s="24" t="inlineStr">
        <is>
          <t>FILTER-12200</t>
        </is>
      </c>
      <c r="C8" s="25" t="inlineStr">
        <is>
          <t>SPROX Manual Testing</t>
        </is>
      </c>
      <c r="D8" s="23" t="inlineStr">
        <is>
          <t>FILTER-8230</t>
        </is>
      </c>
      <c r="E8" s="23" t="inlineStr">
        <is>
          <t>Epic</t>
        </is>
      </c>
      <c r="F8" s="23" t="inlineStr">
        <is>
          <t>Surabhi Choudhary</t>
        </is>
      </c>
      <c r="G8" s="23" t="inlineStr">
        <is>
          <t>QA Verified</t>
        </is>
      </c>
      <c r="H8" s="23" t="inlineStr"/>
      <c r="I8" s="23" t="inlineStr">
        <is>
          <t>P2</t>
        </is>
      </c>
      <c r="J8" s="26" t="n">
        <v>46078</v>
      </c>
      <c r="K8" s="23" t="n"/>
      <c r="L8" s="26" t="n">
        <v>46137</v>
      </c>
      <c r="M8" s="23" t="inlineStr">
        <is>
          <t>sprint-Hanna</t>
        </is>
      </c>
      <c r="N8" s="27" t="n">
        <v>24</v>
      </c>
      <c r="O8" s="27" t="n">
        <v>0</v>
      </c>
      <c r="P8" s="23" t="inlineStr">
        <is>
          <t>FILTER</t>
        </is>
      </c>
      <c r="Q8" s="23" t="inlineStr"/>
      <c r="R8" s="23" t="inlineStr"/>
      <c r="S8" s="28" t="inlineStr">
        <is>
          <t>YES</t>
        </is>
      </c>
    </row>
    <row r="9">
      <c r="A9" s="23" t="inlineStr">
        <is>
          <t>Task</t>
        </is>
      </c>
      <c r="B9" s="24" t="inlineStr">
        <is>
          <t>FDSE-156</t>
        </is>
      </c>
      <c r="C9" s="25" t="inlineStr">
        <is>
          <t>Tooltip variation on options</t>
        </is>
      </c>
      <c r="D9" s="23" t="inlineStr">
        <is>
          <t>FDSE-139</t>
        </is>
      </c>
      <c r="E9" s="23" t="inlineStr">
        <is>
          <t>Epic</t>
        </is>
      </c>
      <c r="F9" s="23" t="inlineStr">
        <is>
          <t>Swaroop Chavhan</t>
        </is>
      </c>
      <c r="G9" s="23" t="inlineStr">
        <is>
          <t>Resolved</t>
        </is>
      </c>
      <c r="H9" s="23" t="inlineStr">
        <is>
          <t>Fixed</t>
        </is>
      </c>
      <c r="I9" s="23" t="inlineStr">
        <is>
          <t>P3</t>
        </is>
      </c>
      <c r="J9" s="26" t="n">
        <v>46054</v>
      </c>
      <c r="K9" s="26" t="n">
        <v>46139</v>
      </c>
      <c r="L9" s="26" t="n">
        <v>46140</v>
      </c>
      <c r="M9" s="23" t="inlineStr">
        <is>
          <t>sprint-Hanna</t>
        </is>
      </c>
      <c r="N9" s="27" t="n">
        <v>30</v>
      </c>
      <c r="O9" s="27" t="n">
        <v>16</v>
      </c>
      <c r="P9" s="23" t="inlineStr">
        <is>
          <t>FDSE</t>
        </is>
      </c>
      <c r="Q9" s="23" t="inlineStr"/>
      <c r="R9" s="23" t="inlineStr"/>
      <c r="S9" s="28" t="inlineStr">
        <is>
          <t>YES</t>
        </is>
      </c>
    </row>
    <row r="10">
      <c r="A10" s="23" t="inlineStr">
        <is>
          <t>Story</t>
        </is>
      </c>
      <c r="B10" s="24" t="inlineStr">
        <is>
          <t>FILTER-13620</t>
        </is>
      </c>
      <c r="C10" s="25" t="inlineStr">
        <is>
          <t xml:space="preserve">Filter A11y - Check and fix deque reported issues in Aware. </t>
        </is>
      </c>
      <c r="D10" s="23" t="inlineStr"/>
      <c r="E10" s="23" t="inlineStr"/>
      <c r="F10" s="23" t="inlineStr">
        <is>
          <t>Swaroop Chavhan</t>
        </is>
      </c>
      <c r="G10" s="23" t="inlineStr">
        <is>
          <t>Ready For Release</t>
        </is>
      </c>
      <c r="H10" s="23" t="inlineStr"/>
      <c r="I10" s="23" t="inlineStr">
        <is>
          <t>P2</t>
        </is>
      </c>
      <c r="J10" s="26" t="n">
        <v>46129</v>
      </c>
      <c r="K10" s="23" t="n"/>
      <c r="L10" s="26" t="n">
        <v>46140</v>
      </c>
      <c r="M10" s="23" t="inlineStr">
        <is>
          <t>sprint-Hanna</t>
        </is>
      </c>
      <c r="N10" s="27" t="n">
        <v>16</v>
      </c>
      <c r="O10" s="27" t="n">
        <v>16</v>
      </c>
      <c r="P10" s="23" t="inlineStr">
        <is>
          <t>FILTER</t>
        </is>
      </c>
      <c r="Q10" s="23" t="inlineStr">
        <is>
          <t>unplanned-sprint</t>
        </is>
      </c>
      <c r="R10" s="23" t="inlineStr"/>
      <c r="S10" s="28" t="inlineStr">
        <is>
          <t>YES</t>
        </is>
      </c>
    </row>
    <row r="11">
      <c r="A11" s="23" t="inlineStr">
        <is>
          <t>Task</t>
        </is>
      </c>
      <c r="B11" s="24" t="inlineStr">
        <is>
          <t>PTGM-686</t>
        </is>
      </c>
      <c r="C11" s="25" t="inlineStr">
        <is>
          <t>[Support tool] Update context with traceid, sessionid</t>
        </is>
      </c>
      <c r="D11" s="23" t="inlineStr"/>
      <c r="E11" s="23" t="inlineStr"/>
      <c r="F11" s="23" t="inlineStr">
        <is>
          <t>Vaibhav Kumbhar</t>
        </is>
      </c>
      <c r="G11" s="23" t="inlineStr">
        <is>
          <t>Closed</t>
        </is>
      </c>
      <c r="H11" s="23" t="inlineStr">
        <is>
          <t>Done</t>
        </is>
      </c>
      <c r="I11" s="23" t="inlineStr">
        <is>
          <t>P3</t>
        </is>
      </c>
      <c r="J11" s="26" t="n">
        <v>46111</v>
      </c>
      <c r="K11" s="26" t="n">
        <v>46139</v>
      </c>
      <c r="L11" s="26" t="n">
        <v>46140</v>
      </c>
      <c r="M11" s="23" t="inlineStr">
        <is>
          <t>sprint-Hanna</t>
        </is>
      </c>
      <c r="N11" s="27" t="n">
        <v>6</v>
      </c>
      <c r="O11" s="27" t="n">
        <v>4</v>
      </c>
      <c r="P11" s="23" t="inlineStr">
        <is>
          <t>PTGM</t>
        </is>
      </c>
      <c r="Q11" s="23" t="inlineStr"/>
      <c r="R11" s="23" t="inlineStr"/>
      <c r="S11" s="28" t="inlineStr">
        <is>
          <t>YES</t>
        </is>
      </c>
    </row>
    <row r="12">
      <c r="A12" s="23" t="inlineStr">
        <is>
          <t>Task</t>
        </is>
      </c>
      <c r="B12" s="24" t="inlineStr">
        <is>
          <t>PTGM-687</t>
        </is>
      </c>
      <c r="C12" s="25" t="inlineStr">
        <is>
          <t>[www-filter] Update context with traceid and sessionid</t>
        </is>
      </c>
      <c r="D12" s="23" t="inlineStr"/>
      <c r="E12" s="23" t="inlineStr"/>
      <c r="F12" s="23" t="inlineStr">
        <is>
          <t>Vaibhav Kumbhar</t>
        </is>
      </c>
      <c r="G12" s="23" t="inlineStr">
        <is>
          <t>Resolved</t>
        </is>
      </c>
      <c r="H12" s="23" t="inlineStr">
        <is>
          <t>Done</t>
        </is>
      </c>
      <c r="I12" s="23" t="inlineStr">
        <is>
          <t>P3</t>
        </is>
      </c>
      <c r="J12" s="26" t="n">
        <v>46111</v>
      </c>
      <c r="K12" s="26" t="n">
        <v>46125</v>
      </c>
      <c r="L12" s="26" t="n">
        <v>46129</v>
      </c>
      <c r="M12" s="23" t="inlineStr">
        <is>
          <t>sprint-Hanna</t>
        </is>
      </c>
      <c r="N12" s="27" t="n">
        <v>0</v>
      </c>
      <c r="O12" s="27" t="n">
        <v>6</v>
      </c>
      <c r="P12" s="23" t="inlineStr">
        <is>
          <t>PTGM</t>
        </is>
      </c>
      <c r="Q12" s="23" t="inlineStr"/>
      <c r="R12" s="23" t="inlineStr"/>
      <c r="S12" s="28" t="inlineStr">
        <is>
          <t>YES</t>
        </is>
      </c>
    </row>
    <row r="13">
      <c r="A13" t="inlineStr">
        <is>
          <t>QA</t>
        </is>
      </c>
      <c r="B13" s="29" t="inlineStr">
        <is>
          <t>FILTER-11167</t>
        </is>
      </c>
      <c r="C13" s="21" t="inlineStr">
        <is>
          <t>Manual QA Validation for Policy Map Security Group Initial Load and Search Failure</t>
        </is>
      </c>
      <c r="D13" t="inlineStr">
        <is>
          <t>FILTER-10462</t>
        </is>
      </c>
      <c r="E13" t="inlineStr">
        <is>
          <t>Escape Defect</t>
        </is>
      </c>
      <c r="F13" t="inlineStr">
        <is>
          <t>Altamash Heroli</t>
        </is>
      </c>
      <c r="G13" t="inlineStr">
        <is>
          <t>QA Verified</t>
        </is>
      </c>
      <c r="H13" t="inlineStr"/>
      <c r="I13" t="inlineStr">
        <is>
          <t>P3</t>
        </is>
      </c>
      <c r="J13" s="30" t="n">
        <v>45993</v>
      </c>
      <c r="L13" s="30" t="n">
        <v>46139</v>
      </c>
      <c r="M13" t="inlineStr">
        <is>
          <t>sprint-Hanna</t>
        </is>
      </c>
      <c r="N13" s="11" t="n">
        <v>1</v>
      </c>
      <c r="O13" s="11" t="n">
        <v>1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QA</t>
        </is>
      </c>
      <c r="B14" s="29" t="inlineStr">
        <is>
          <t>FILTER-12325</t>
        </is>
      </c>
      <c r="C14" s="21" t="inlineStr">
        <is>
          <t>QA- BugCrowd-850af9c1-f86b-4c74-91ac-94ea808c8e9b-Deleted User to Continue Performing Privileged Actions (Account Deletion Bypass)</t>
        </is>
      </c>
      <c r="D14" t="inlineStr">
        <is>
          <t>FILTER-12323</t>
        </is>
      </c>
      <c r="E14" t="inlineStr">
        <is>
          <t>Defect</t>
        </is>
      </c>
      <c r="F14" t="inlineStr">
        <is>
          <t>Altamash Heroli</t>
        </is>
      </c>
      <c r="G14" t="inlineStr">
        <is>
          <t>QA Verified</t>
        </is>
      </c>
      <c r="H14" t="inlineStr"/>
      <c r="I14" t="inlineStr">
        <is>
          <t>P3</t>
        </is>
      </c>
      <c r="J14" s="30" t="n">
        <v>46083</v>
      </c>
      <c r="L14" s="30" t="n">
        <v>46136</v>
      </c>
      <c r="M14" t="inlineStr">
        <is>
          <t>sprint-Hanna</t>
        </is>
      </c>
      <c r="N14" s="11" t="n">
        <v>12</v>
      </c>
      <c r="O14" s="11" t="n">
        <v>4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QA</t>
        </is>
      </c>
      <c r="B15" s="29" t="inlineStr">
        <is>
          <t>FILTER-12705</t>
        </is>
      </c>
      <c r="C15" s="21" t="inlineStr">
        <is>
          <t>QA- Support Tool &gt;&gt; Custom list UI. Custom List table and Custom List Resource table headers are not in bold</t>
        </is>
      </c>
      <c r="D15" t="inlineStr">
        <is>
          <t>FILTER-12702</t>
        </is>
      </c>
      <c r="E15" t="inlineStr">
        <is>
          <t>Defect</t>
        </is>
      </c>
      <c r="F15" t="inlineStr">
        <is>
          <t>Altamash Heroli</t>
        </is>
      </c>
      <c r="G15" t="inlineStr">
        <is>
          <t>Closed without action</t>
        </is>
      </c>
      <c r="H15" t="inlineStr"/>
      <c r="I15" t="inlineStr">
        <is>
          <t>P3</t>
        </is>
      </c>
      <c r="J15" s="30" t="n">
        <v>46107</v>
      </c>
      <c r="L15" s="30" t="n">
        <v>46126</v>
      </c>
      <c r="M15" t="inlineStr">
        <is>
          <t>sprint-Hanna</t>
        </is>
      </c>
      <c r="N15" s="11" t="n">
        <v>0</v>
      </c>
      <c r="O15" s="11" t="n">
        <v>0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QA</t>
        </is>
      </c>
      <c r="B16" s="29" t="inlineStr">
        <is>
          <t>FILTER-12706</t>
        </is>
      </c>
      <c r="C16" s="21" t="inlineStr">
        <is>
          <t>QA- Support Tool &gt;&gt; Custom list UI. Custom List table and Custom List Resource table headers are not in bold</t>
        </is>
      </c>
      <c r="D16" t="inlineStr">
        <is>
          <t>FILTER-12702</t>
        </is>
      </c>
      <c r="E16" t="inlineStr">
        <is>
          <t>Defect</t>
        </is>
      </c>
      <c r="F16" t="inlineStr">
        <is>
          <t>Altamash Heroli</t>
        </is>
      </c>
      <c r="G16" t="inlineStr">
        <is>
          <t>Done</t>
        </is>
      </c>
      <c r="H16" t="inlineStr"/>
      <c r="I16" t="inlineStr">
        <is>
          <t>P3</t>
        </is>
      </c>
      <c r="J16" s="30" t="n">
        <v>46107</v>
      </c>
      <c r="L16" s="30" t="n">
        <v>46133</v>
      </c>
      <c r="M16" t="inlineStr">
        <is>
          <t>sprint-Hanna</t>
        </is>
      </c>
      <c r="N16" s="11" t="n">
        <v>0.33</v>
      </c>
      <c r="O16" s="11" t="n">
        <v>1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9" t="inlineStr">
        <is>
          <t>FILTER-12770</t>
        </is>
      </c>
      <c r="C17" s="21" t="inlineStr">
        <is>
          <t>QA- Support Tool &gt;&gt; Custom list UI. Custom List table.  Listing Order is incorrect. Should be A-Z.</t>
        </is>
      </c>
      <c r="D17" t="inlineStr">
        <is>
          <t>FILTER-12768</t>
        </is>
      </c>
      <c r="E17" t="inlineStr">
        <is>
          <t>Defect</t>
        </is>
      </c>
      <c r="F17" t="inlineStr">
        <is>
          <t>Altamash Heroli</t>
        </is>
      </c>
      <c r="G17" t="inlineStr">
        <is>
          <t>Done</t>
        </is>
      </c>
      <c r="H17" t="inlineStr"/>
      <c r="I17" t="inlineStr">
        <is>
          <t>P3</t>
        </is>
      </c>
      <c r="J17" s="30" t="n">
        <v>46108</v>
      </c>
      <c r="L17" s="30" t="n">
        <v>46133</v>
      </c>
      <c r="M17" t="inlineStr">
        <is>
          <t>sprint-Hanna</t>
        </is>
      </c>
      <c r="N17" s="11" t="n">
        <v>0.33</v>
      </c>
      <c r="O17" s="11" t="n">
        <v>1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QA</t>
        </is>
      </c>
      <c r="B18" s="29" t="inlineStr">
        <is>
          <t>FILTER-12774</t>
        </is>
      </c>
      <c r="C18" s="21" t="inlineStr">
        <is>
          <t>QA- Support Tool &gt;&gt; Custom list UI. Custom List table &gt;&gt; List names become center aligned if the Brower Zoom is 110% or more.</t>
        </is>
      </c>
      <c r="D18" t="inlineStr">
        <is>
          <t>FILTER-12772</t>
        </is>
      </c>
      <c r="E18" t="inlineStr">
        <is>
          <t>Defect</t>
        </is>
      </c>
      <c r="F18" t="inlineStr">
        <is>
          <t>Altamash Heroli</t>
        </is>
      </c>
      <c r="G18" t="inlineStr">
        <is>
          <t>Done</t>
        </is>
      </c>
      <c r="H18" t="inlineStr"/>
      <c r="I18" t="inlineStr">
        <is>
          <t>P3</t>
        </is>
      </c>
      <c r="J18" s="30" t="n">
        <v>46108</v>
      </c>
      <c r="L18" s="30" t="n">
        <v>46133</v>
      </c>
      <c r="M18" t="inlineStr">
        <is>
          <t>sprint-Hanna</t>
        </is>
      </c>
      <c r="N18" s="11" t="n">
        <v>0.17</v>
      </c>
      <c r="O18" s="11" t="n">
        <v>1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QA</t>
        </is>
      </c>
      <c r="B19" s="29" t="inlineStr">
        <is>
          <t>FILTER-12778</t>
        </is>
      </c>
      <c r="C19" s="21" t="inlineStr">
        <is>
          <t>QA- Support Tool &gt;&gt; Custom list UI. Custom List table &gt;&gt; Action icons lose aligned if the Brower Zoom is 110% or more.</t>
        </is>
      </c>
      <c r="D19" t="inlineStr">
        <is>
          <t>FILTER-12776</t>
        </is>
      </c>
      <c r="E19" t="inlineStr">
        <is>
          <t>Defect</t>
        </is>
      </c>
      <c r="F19" t="inlineStr">
        <is>
          <t>Altamash Heroli</t>
        </is>
      </c>
      <c r="G19" t="inlineStr">
        <is>
          <t>QA Verified</t>
        </is>
      </c>
      <c r="H19" t="inlineStr"/>
      <c r="I19" t="inlineStr">
        <is>
          <t>P3</t>
        </is>
      </c>
      <c r="J19" s="30" t="n">
        <v>46108</v>
      </c>
      <c r="L19" s="30" t="n">
        <v>46132</v>
      </c>
      <c r="M19" t="inlineStr">
        <is>
          <t>sprint-Hanna</t>
        </is>
      </c>
      <c r="N19" s="11" t="n">
        <v>0.33</v>
      </c>
      <c r="O19" s="11" t="n">
        <v>1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QA</t>
        </is>
      </c>
      <c r="B20" s="29" t="inlineStr">
        <is>
          <t>FILTER-12858</t>
        </is>
      </c>
      <c r="C20" s="21" t="inlineStr">
        <is>
          <t>QA- Support Tool &gt;&gt; Custom list UI. Custom List table &gt;&gt; "Updated on" field's date format is inconsistent with date format on FID listing page's " Last edited / created" field</t>
        </is>
      </c>
      <c r="D20" t="inlineStr">
        <is>
          <t>FILTER-12856</t>
        </is>
      </c>
      <c r="E20" t="inlineStr">
        <is>
          <t>Defect</t>
        </is>
      </c>
      <c r="F20" t="inlineStr">
        <is>
          <t>Altamash Heroli</t>
        </is>
      </c>
      <c r="G20" t="inlineStr">
        <is>
          <t>Done</t>
        </is>
      </c>
      <c r="H20" t="inlineStr"/>
      <c r="I20" t="inlineStr">
        <is>
          <t>P3</t>
        </is>
      </c>
      <c r="J20" s="30" t="n">
        <v>46108</v>
      </c>
      <c r="L20" s="30" t="n">
        <v>46133</v>
      </c>
      <c r="M20" t="inlineStr">
        <is>
          <t>sprint-Hanna</t>
        </is>
      </c>
      <c r="N20" s="11" t="n">
        <v>0.08</v>
      </c>
      <c r="O20" s="11" t="n">
        <v>1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QA</t>
        </is>
      </c>
      <c r="B21" s="29" t="inlineStr">
        <is>
          <t>FILTER-12866</t>
        </is>
      </c>
      <c r="C21" s="21" t="inlineStr">
        <is>
          <t>QA- Support Tool &gt;&gt; Custom list UI. Custom List table &gt;&gt; "Last updated by" field is not showing value for every list</t>
        </is>
      </c>
      <c r="D21" t="inlineStr">
        <is>
          <t>FILTER-12864</t>
        </is>
      </c>
      <c r="E21" t="inlineStr">
        <is>
          <t>Defect</t>
        </is>
      </c>
      <c r="F21" t="inlineStr">
        <is>
          <t>Altamash Heroli</t>
        </is>
      </c>
      <c r="G21" t="inlineStr">
        <is>
          <t>Closed without action</t>
        </is>
      </c>
      <c r="H21" t="inlineStr"/>
      <c r="I21" t="inlineStr">
        <is>
          <t>P2</t>
        </is>
      </c>
      <c r="J21" s="30" t="n">
        <v>46108</v>
      </c>
      <c r="L21" s="30" t="n">
        <v>46140</v>
      </c>
      <c r="M21" t="inlineStr">
        <is>
          <t>sprint-Hanna</t>
        </is>
      </c>
      <c r="N21" s="11" t="n">
        <v>0</v>
      </c>
      <c r="O21" s="11" t="n">
        <v>0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QA</t>
        </is>
      </c>
      <c r="B22" s="29" t="inlineStr">
        <is>
          <t>FILTER-12870</t>
        </is>
      </c>
      <c r="C22" s="21" t="inlineStr">
        <is>
          <t>QA- Support Tool &gt;&gt; Custom list UI. Custom List table &gt;&gt; we are able to see global lists which are created by non support tool users as well</t>
        </is>
      </c>
      <c r="D22" t="inlineStr">
        <is>
          <t>FILTER-12868</t>
        </is>
      </c>
      <c r="E22" t="inlineStr">
        <is>
          <t>Defect</t>
        </is>
      </c>
      <c r="F22" t="inlineStr">
        <is>
          <t>Altamash Heroli</t>
        </is>
      </c>
      <c r="G22" t="inlineStr">
        <is>
          <t>QA Verified</t>
        </is>
      </c>
      <c r="H22" t="inlineStr"/>
      <c r="I22" t="inlineStr">
        <is>
          <t>P1</t>
        </is>
      </c>
      <c r="J22" s="30" t="n">
        <v>46108</v>
      </c>
      <c r="L22" s="30" t="n">
        <v>46134</v>
      </c>
      <c r="M22" t="inlineStr">
        <is>
          <t>sprint-Hanna</t>
        </is>
      </c>
      <c r="N22" s="11" t="n">
        <v>0.5</v>
      </c>
      <c r="O22" s="11" t="n">
        <v>1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QA</t>
        </is>
      </c>
      <c r="B23" s="29" t="inlineStr">
        <is>
          <t>FILTER-12874</t>
        </is>
      </c>
      <c r="C23" s="21" t="inlineStr">
        <is>
          <t>QA- Support Tool &gt;&gt; Custom list UI. Custom List table,  Custom List Resource table &gt;&gt; icons section missing table header</t>
        </is>
      </c>
      <c r="D23" t="inlineStr">
        <is>
          <t>FILTER-12872</t>
        </is>
      </c>
      <c r="E23" t="inlineStr">
        <is>
          <t>Defect</t>
        </is>
      </c>
      <c r="F23" t="inlineStr">
        <is>
          <t>Altamash Heroli</t>
        </is>
      </c>
      <c r="G23" t="inlineStr">
        <is>
          <t>QA Verified</t>
        </is>
      </c>
      <c r="H23" t="inlineStr"/>
      <c r="I23" t="inlineStr">
        <is>
          <t>P3</t>
        </is>
      </c>
      <c r="J23" s="30" t="n">
        <v>46108</v>
      </c>
      <c r="L23" s="30" t="n">
        <v>46132</v>
      </c>
      <c r="M23" t="inlineStr">
        <is>
          <t>sprint-Hanna</t>
        </is>
      </c>
      <c r="N23" s="11" t="n">
        <v>0.5</v>
      </c>
      <c r="O23" s="11" t="n">
        <v>1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QA</t>
        </is>
      </c>
      <c r="B24" s="29" t="inlineStr">
        <is>
          <t>FILTER-12886</t>
        </is>
      </c>
      <c r="C24" s="21" t="inlineStr">
        <is>
          <t>QA- Support Tool &gt;&gt; Custom list UI. Custom List table, Custom List Resource table &gt;&gt; Formatting issues in table if List Name and Comment is big (255 characters each)</t>
        </is>
      </c>
      <c r="D24" t="inlineStr">
        <is>
          <t>FILTER-12884</t>
        </is>
      </c>
      <c r="E24" t="inlineStr">
        <is>
          <t>Defect</t>
        </is>
      </c>
      <c r="F24" t="inlineStr">
        <is>
          <t>Altamash Heroli</t>
        </is>
      </c>
      <c r="G24" t="inlineStr">
        <is>
          <t>Done</t>
        </is>
      </c>
      <c r="H24" t="inlineStr"/>
      <c r="I24" t="inlineStr">
        <is>
          <t>P3</t>
        </is>
      </c>
      <c r="J24" s="30" t="n">
        <v>46108</v>
      </c>
      <c r="L24" s="30" t="n">
        <v>46133</v>
      </c>
      <c r="M24" t="inlineStr">
        <is>
          <t>sprint-Hanna</t>
        </is>
      </c>
      <c r="N24" s="11" t="n">
        <v>0.5</v>
      </c>
      <c r="O24" s="11" t="n">
        <v>1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QA</t>
        </is>
      </c>
      <c r="B25" s="29" t="inlineStr">
        <is>
          <t>FILTER-12890</t>
        </is>
      </c>
      <c r="C25" s="21" t="inlineStr">
        <is>
          <t>QA- Support Tool &gt;&gt; Custom list UI. Create custom list and Edit custom list, pages do not have * mark for Mandatory fields</t>
        </is>
      </c>
      <c r="D25" t="inlineStr">
        <is>
          <t>FILTER-12888</t>
        </is>
      </c>
      <c r="E25" t="inlineStr">
        <is>
          <t>Defect</t>
        </is>
      </c>
      <c r="F25" t="inlineStr">
        <is>
          <t>Altamash Heroli</t>
        </is>
      </c>
      <c r="G25" t="inlineStr">
        <is>
          <t>Done</t>
        </is>
      </c>
      <c r="H25" t="inlineStr"/>
      <c r="I25" t="inlineStr">
        <is>
          <t>P3</t>
        </is>
      </c>
      <c r="J25" s="30" t="n">
        <v>46108</v>
      </c>
      <c r="L25" s="30" t="n">
        <v>46133</v>
      </c>
      <c r="M25" t="inlineStr">
        <is>
          <t>sprint-Hanna</t>
        </is>
      </c>
      <c r="N25" s="11" t="n">
        <v>0.33</v>
      </c>
      <c r="O25" s="11" t="n">
        <v>1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QA</t>
        </is>
      </c>
      <c r="B26" s="29" t="inlineStr">
        <is>
          <t>FILTER-12894</t>
        </is>
      </c>
      <c r="C26" s="21" t="inlineStr">
        <is>
          <t>QA- Support Tool &gt;&gt; Custom list UI. Create custom list and Edit custom list, pages error message is not explanatory for more than 255 character length</t>
        </is>
      </c>
      <c r="D26" t="inlineStr">
        <is>
          <t>FILTER-12892</t>
        </is>
      </c>
      <c r="E26" t="inlineStr">
        <is>
          <t>Defect</t>
        </is>
      </c>
      <c r="F26" t="inlineStr">
        <is>
          <t>Altamash Heroli</t>
        </is>
      </c>
      <c r="G26" t="inlineStr">
        <is>
          <t>QA Verified</t>
        </is>
      </c>
      <c r="H26" t="inlineStr"/>
      <c r="I26" t="inlineStr">
        <is>
          <t>P2</t>
        </is>
      </c>
      <c r="J26" s="30" t="n">
        <v>46108</v>
      </c>
      <c r="L26" s="30" t="n">
        <v>46132</v>
      </c>
      <c r="M26" t="inlineStr">
        <is>
          <t>sprint-Hanna</t>
        </is>
      </c>
      <c r="N26" s="11" t="n">
        <v>0.33</v>
      </c>
      <c r="O26" s="11" t="n">
        <v>1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QA</t>
        </is>
      </c>
      <c r="B27" s="29" t="inlineStr">
        <is>
          <t>FILTER-12898</t>
        </is>
      </c>
      <c r="C27" s="21" t="inlineStr">
        <is>
          <t>QA- Support Tool &gt;&gt; Custom list UI. Create custom list Resource and Update custom list Resource, drawer should validated for comment length on Save of that drawer</t>
        </is>
      </c>
      <c r="D27" t="inlineStr">
        <is>
          <t>FILTER-12896</t>
        </is>
      </c>
      <c r="E27" t="inlineStr">
        <is>
          <t>Defect</t>
        </is>
      </c>
      <c r="F27" t="inlineStr">
        <is>
          <t>Altamash Heroli</t>
        </is>
      </c>
      <c r="G27" t="inlineStr">
        <is>
          <t>QA Verified</t>
        </is>
      </c>
      <c r="H27" t="inlineStr"/>
      <c r="I27" t="inlineStr">
        <is>
          <t>P2</t>
        </is>
      </c>
      <c r="J27" s="30" t="n">
        <v>46108</v>
      </c>
      <c r="L27" s="30" t="n">
        <v>46132</v>
      </c>
      <c r="M27" t="inlineStr">
        <is>
          <t>sprint-Hanna</t>
        </is>
      </c>
      <c r="N27" s="11" t="n">
        <v>0.33</v>
      </c>
      <c r="O27" s="11" t="n">
        <v>1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QA</t>
        </is>
      </c>
      <c r="B28" s="29" t="inlineStr">
        <is>
          <t>FILTER-12902</t>
        </is>
      </c>
      <c r="C28" s="21" t="inlineStr">
        <is>
          <t>QA- Support Tool &gt;&gt; Custom list UI. Create custom list and Edit custom list, pages error message is not explanatory for duplicate Custom list name</t>
        </is>
      </c>
      <c r="D28" t="inlineStr">
        <is>
          <t>FILTER-12900</t>
        </is>
      </c>
      <c r="E28" t="inlineStr">
        <is>
          <t>Defect</t>
        </is>
      </c>
      <c r="F28" t="inlineStr">
        <is>
          <t>Altamash Heroli</t>
        </is>
      </c>
      <c r="G28" t="inlineStr">
        <is>
          <t>QA Verified</t>
        </is>
      </c>
      <c r="H28" t="inlineStr"/>
      <c r="I28" t="inlineStr">
        <is>
          <t>P2</t>
        </is>
      </c>
      <c r="J28" s="30" t="n">
        <v>46108</v>
      </c>
      <c r="L28" s="30" t="n">
        <v>46133</v>
      </c>
      <c r="M28" t="inlineStr">
        <is>
          <t>sprint-Hanna</t>
        </is>
      </c>
      <c r="N28" s="11" t="n">
        <v>0.5</v>
      </c>
      <c r="O28" s="11" t="n">
        <v>1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QA</t>
        </is>
      </c>
      <c r="B29" s="29" t="inlineStr">
        <is>
          <t>FILTER-12910</t>
        </is>
      </c>
      <c r="C29" s="21" t="inlineStr">
        <is>
          <t>QA- Support Tool &gt;&gt; Custom list UI. Edit custom list, User can change the Type on Edit.</t>
        </is>
      </c>
      <c r="D29" t="inlineStr">
        <is>
          <t>FILTER-12908</t>
        </is>
      </c>
      <c r="E29" t="inlineStr">
        <is>
          <t>Defect</t>
        </is>
      </c>
      <c r="F29" t="inlineStr">
        <is>
          <t>Altamash Heroli</t>
        </is>
      </c>
      <c r="G29" t="inlineStr">
        <is>
          <t>QA Verified</t>
        </is>
      </c>
      <c r="H29" t="inlineStr"/>
      <c r="I29" t="inlineStr">
        <is>
          <t>P1</t>
        </is>
      </c>
      <c r="J29" s="30" t="n">
        <v>46108</v>
      </c>
      <c r="L29" s="30" t="n">
        <v>46134</v>
      </c>
      <c r="M29" t="inlineStr">
        <is>
          <t>sprint-Hanna</t>
        </is>
      </c>
      <c r="N29" s="11" t="n">
        <v>0.33</v>
      </c>
      <c r="O29" s="11" t="n">
        <v>1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QA</t>
        </is>
      </c>
      <c r="B30" s="29" t="inlineStr">
        <is>
          <t>FILTER-12934</t>
        </is>
      </c>
      <c r="C30" s="21" t="inlineStr">
        <is>
          <t>QA- Support Tool &gt;&gt; Custom list UI. Edit custom list Search terms type, allows changing Match type and saves it. But does not reflect the change.</t>
        </is>
      </c>
      <c r="D30" t="inlineStr">
        <is>
          <t>FILTER-12932</t>
        </is>
      </c>
      <c r="E30" t="inlineStr">
        <is>
          <t>Defect</t>
        </is>
      </c>
      <c r="F30" t="inlineStr">
        <is>
          <t>Altamash Heroli</t>
        </is>
      </c>
      <c r="G30" t="inlineStr">
        <is>
          <t>QA Verified</t>
        </is>
      </c>
      <c r="H30" t="inlineStr"/>
      <c r="I30" t="inlineStr">
        <is>
          <t>P1</t>
        </is>
      </c>
      <c r="J30" s="30" t="n">
        <v>46108</v>
      </c>
      <c r="L30" s="30" t="n">
        <v>46134</v>
      </c>
      <c r="M30" t="inlineStr">
        <is>
          <t>sprint-Hanna</t>
        </is>
      </c>
      <c r="N30" s="11" t="n">
        <v>0.33</v>
      </c>
      <c r="O30" s="11" t="n">
        <v>1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QA</t>
        </is>
      </c>
      <c r="B31" s="29" t="inlineStr">
        <is>
          <t>FILTER-12938</t>
        </is>
      </c>
      <c r="C31" s="21" t="inlineStr">
        <is>
          <t>QA- Support Tool &gt;&gt; Custom list UI. Add custom list Search terms type, does not save for Match type Contains</t>
        </is>
      </c>
      <c r="D31" t="inlineStr">
        <is>
          <t>FILTER-12936</t>
        </is>
      </c>
      <c r="E31" t="inlineStr">
        <is>
          <t>Defect</t>
        </is>
      </c>
      <c r="F31" t="inlineStr">
        <is>
          <t>Altamash Heroli</t>
        </is>
      </c>
      <c r="G31" t="inlineStr">
        <is>
          <t>QA Verified</t>
        </is>
      </c>
      <c r="H31" t="inlineStr"/>
      <c r="I31" t="inlineStr">
        <is>
          <t>P1</t>
        </is>
      </c>
      <c r="J31" s="30" t="n">
        <v>46108</v>
      </c>
      <c r="L31" s="30" t="n">
        <v>46134</v>
      </c>
      <c r="M31" t="inlineStr">
        <is>
          <t>sprint-Hanna</t>
        </is>
      </c>
      <c r="N31" s="11" t="n">
        <v>0.33</v>
      </c>
      <c r="O31" s="11" t="n">
        <v>1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QA</t>
        </is>
      </c>
      <c r="B32" s="29" t="inlineStr">
        <is>
          <t>FILTER-12999</t>
        </is>
      </c>
      <c r="C32" s="21" t="inlineStr">
        <is>
          <t>QA- Support Tool &gt;&gt; Custom list UI.  Cross Cluster Create custom lists are not displayed in other clusters</t>
        </is>
      </c>
      <c r="D32" t="inlineStr">
        <is>
          <t>FILTER-12997</t>
        </is>
      </c>
      <c r="E32" t="inlineStr">
        <is>
          <t>Defect</t>
        </is>
      </c>
      <c r="F32" t="inlineStr">
        <is>
          <t>Altamash Heroli</t>
        </is>
      </c>
      <c r="G32" t="inlineStr">
        <is>
          <t>QA Verified</t>
        </is>
      </c>
      <c r="H32" t="inlineStr"/>
      <c r="I32" t="inlineStr">
        <is>
          <t>P1</t>
        </is>
      </c>
      <c r="J32" s="30" t="n">
        <v>46111</v>
      </c>
      <c r="L32" s="30" t="n">
        <v>46133</v>
      </c>
      <c r="M32" t="inlineStr">
        <is>
          <t>sprint-Hanna</t>
        </is>
      </c>
      <c r="N32" s="11" t="n">
        <v>0.5</v>
      </c>
      <c r="O32" s="11" t="n">
        <v>1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QA</t>
        </is>
      </c>
      <c r="B33" s="29" t="inlineStr">
        <is>
          <t>FILTER-13379</t>
        </is>
      </c>
      <c r="C33" s="21" t="inlineStr">
        <is>
          <t>QA- Safety Console &gt;&gt; Policy Editor. Allow/Block Search terms' pop-up does not show value if added text is not as per validations.</t>
        </is>
      </c>
      <c r="D33" t="inlineStr">
        <is>
          <t>FILTER-13377</t>
        </is>
      </c>
      <c r="E33" t="inlineStr">
        <is>
          <t>Defect</t>
        </is>
      </c>
      <c r="F33" t="inlineStr">
        <is>
          <t>Altamash Heroli</t>
        </is>
      </c>
      <c r="G33" t="inlineStr">
        <is>
          <t>QA Verified</t>
        </is>
      </c>
      <c r="H33" t="inlineStr"/>
      <c r="I33" t="inlineStr">
        <is>
          <t>P3</t>
        </is>
      </c>
      <c r="J33" s="30" t="n">
        <v>46121</v>
      </c>
      <c r="L33" s="30" t="n">
        <v>46133</v>
      </c>
      <c r="M33" t="inlineStr">
        <is>
          <t>sprint-Hanna</t>
        </is>
      </c>
      <c r="N33" s="11" t="n">
        <v>0.67</v>
      </c>
      <c r="O33" s="11" t="n">
        <v>1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QA</t>
        </is>
      </c>
      <c r="B34" s="29" t="inlineStr">
        <is>
          <t>FILTER-13401</t>
        </is>
      </c>
      <c r="C34" s="21" t="inlineStr">
        <is>
          <t>QA- Safety Console &gt;&gt; Filter. Activities. Deleted Admin group user is able add activities to Allow/Block list</t>
        </is>
      </c>
      <c r="D34" t="inlineStr">
        <is>
          <t>FILTER-13399</t>
        </is>
      </c>
      <c r="E34" t="inlineStr">
        <is>
          <t>Defect</t>
        </is>
      </c>
      <c r="F34" t="inlineStr">
        <is>
          <t>Altamash Heroli</t>
        </is>
      </c>
      <c r="G34" t="inlineStr">
        <is>
          <t>Closed without action</t>
        </is>
      </c>
      <c r="H34" t="inlineStr"/>
      <c r="I34" t="inlineStr">
        <is>
          <t>P2</t>
        </is>
      </c>
      <c r="J34" s="30" t="n">
        <v>46121</v>
      </c>
      <c r="L34" s="30" t="n">
        <v>46134</v>
      </c>
      <c r="M34" t="inlineStr">
        <is>
          <t>sprint-Hanna</t>
        </is>
      </c>
      <c r="N34" s="11" t="n">
        <v>0.17</v>
      </c>
      <c r="O34" s="11" t="n">
        <v>2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QA</t>
        </is>
      </c>
      <c r="B35" s="29" t="inlineStr">
        <is>
          <t>FILTER-13456</t>
        </is>
      </c>
      <c r="C35" s="21" t="inlineStr">
        <is>
          <t>QA- Support Tool. After searching for FID from FID Detail page's FID name dropdown, the FID name is not cleared</t>
        </is>
      </c>
      <c r="D35" t="inlineStr">
        <is>
          <t>FILTER-13454</t>
        </is>
      </c>
      <c r="E35" t="inlineStr">
        <is>
          <t>Escape Defect</t>
        </is>
      </c>
      <c r="F35" t="inlineStr">
        <is>
          <t>Altamash Heroli</t>
        </is>
      </c>
      <c r="G35" t="inlineStr">
        <is>
          <t>QA Verified</t>
        </is>
      </c>
      <c r="H35" t="inlineStr"/>
      <c r="I35" t="inlineStr">
        <is>
          <t>P1</t>
        </is>
      </c>
      <c r="J35" s="30" t="n">
        <v>46123</v>
      </c>
      <c r="L35" s="30" t="n">
        <v>46132</v>
      </c>
      <c r="M35" t="inlineStr">
        <is>
          <t>sprint-Hanna</t>
        </is>
      </c>
      <c r="N35" s="11" t="n">
        <v>0.5</v>
      </c>
      <c r="O35" s="11" t="n">
        <v>1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QA</t>
        </is>
      </c>
      <c r="B36" s="29" t="inlineStr">
        <is>
          <t>FILTER-13460</t>
        </is>
      </c>
      <c r="C36" s="21" t="inlineStr">
        <is>
          <t>QA- Support Tool. FID search from FID Detail page's FID name dropdown is not able to search when spaces are present at the start or end of the query.</t>
        </is>
      </c>
      <c r="D36" t="inlineStr">
        <is>
          <t>FILTER-13458</t>
        </is>
      </c>
      <c r="E36" t="inlineStr">
        <is>
          <t>Escape Defect</t>
        </is>
      </c>
      <c r="F36" t="inlineStr">
        <is>
          <t>Altamash Heroli</t>
        </is>
      </c>
      <c r="G36" t="inlineStr">
        <is>
          <t>QA Verified</t>
        </is>
      </c>
      <c r="H36" t="inlineStr"/>
      <c r="I36" t="inlineStr">
        <is>
          <t>P3</t>
        </is>
      </c>
      <c r="J36" s="30" t="n">
        <v>46123</v>
      </c>
      <c r="L36" s="30" t="n">
        <v>46132</v>
      </c>
      <c r="M36" t="inlineStr">
        <is>
          <t>sprint-Hanna</t>
        </is>
      </c>
      <c r="N36" s="11" t="n">
        <v>0.33</v>
      </c>
      <c r="O36" s="11" t="n">
        <v>1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QA</t>
        </is>
      </c>
      <c r="B37" s="29" t="inlineStr">
        <is>
          <t>FILTER-13464</t>
        </is>
      </c>
      <c r="C37" s="21" t="inlineStr">
        <is>
          <t>QA- Support Tool. FID search from FID Detail page's FID name dropdown can search and display closed accounts as well</t>
        </is>
      </c>
      <c r="D37" t="inlineStr">
        <is>
          <t>FILTER-13462</t>
        </is>
      </c>
      <c r="E37" t="inlineStr">
        <is>
          <t>Escape Defect</t>
        </is>
      </c>
      <c r="F37" t="inlineStr">
        <is>
          <t>Altamash Heroli</t>
        </is>
      </c>
      <c r="G37" t="inlineStr">
        <is>
          <t>QA Verified</t>
        </is>
      </c>
      <c r="H37" t="inlineStr"/>
      <c r="I37" t="inlineStr">
        <is>
          <t>P2</t>
        </is>
      </c>
      <c r="J37" s="30" t="n">
        <v>46123</v>
      </c>
      <c r="L37" s="30" t="n">
        <v>46132</v>
      </c>
      <c r="M37" t="inlineStr">
        <is>
          <t>sprint-Hanna</t>
        </is>
      </c>
      <c r="N37" s="11" t="n">
        <v>0.33</v>
      </c>
      <c r="O37" s="11" t="n">
        <v>1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QA</t>
        </is>
      </c>
      <c r="B38" s="29" t="inlineStr">
        <is>
          <t>FILTER-13544</t>
        </is>
      </c>
      <c r="C38" s="21" t="inlineStr">
        <is>
          <t>QA- Safety Console &gt;&gt; Filter. Admin Group. Admin user if removed from DA, looses Admin session as well</t>
        </is>
      </c>
      <c r="D38" t="inlineStr">
        <is>
          <t>FILTER-13542</t>
        </is>
      </c>
      <c r="E38" t="inlineStr">
        <is>
          <t>Defect</t>
        </is>
      </c>
      <c r="F38" t="inlineStr">
        <is>
          <t>Altamash Heroli</t>
        </is>
      </c>
      <c r="G38" t="inlineStr">
        <is>
          <t>QA Verified</t>
        </is>
      </c>
      <c r="H38" t="inlineStr"/>
      <c r="I38" t="inlineStr">
        <is>
          <t>P0</t>
        </is>
      </c>
      <c r="J38" s="30" t="n">
        <v>46126</v>
      </c>
      <c r="L38" s="30" t="n">
        <v>46135</v>
      </c>
      <c r="M38" t="inlineStr">
        <is>
          <t>sprint-Hanna</t>
        </is>
      </c>
      <c r="N38" s="11" t="n">
        <v>2</v>
      </c>
      <c r="O38" s="11" t="n">
        <v>2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QA</t>
        </is>
      </c>
      <c r="B39" s="29" t="inlineStr">
        <is>
          <t>FILTER-13584</t>
        </is>
      </c>
      <c r="C39" s="21" t="inlineStr">
        <is>
          <t>QA- Safety Console &gt;&gt; Filter. Translation and Accessibility issues</t>
        </is>
      </c>
      <c r="D39" t="inlineStr">
        <is>
          <t>FILTER-13581</t>
        </is>
      </c>
      <c r="E39" t="inlineStr">
        <is>
          <t>Escape Defect</t>
        </is>
      </c>
      <c r="F39" t="inlineStr">
        <is>
          <t>Altamash Heroli</t>
        </is>
      </c>
      <c r="G39" t="inlineStr">
        <is>
          <t>Closed without action</t>
        </is>
      </c>
      <c r="H39" t="inlineStr"/>
      <c r="I39" t="inlineStr">
        <is>
          <t>P1</t>
        </is>
      </c>
      <c r="J39" s="30" t="n">
        <v>46128</v>
      </c>
      <c r="L39" s="30" t="n">
        <v>46128</v>
      </c>
      <c r="M39" t="inlineStr">
        <is>
          <t>sprint-Hanna</t>
        </is>
      </c>
      <c r="N39" s="11" t="n">
        <v>0</v>
      </c>
      <c r="O39" s="11" t="n">
        <v>0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QA</t>
        </is>
      </c>
      <c r="B40" s="29" t="inlineStr">
        <is>
          <t>FILTER-13585</t>
        </is>
      </c>
      <c r="C40" s="21" t="inlineStr">
        <is>
          <t>QA- Safety Console &gt;&gt; Filter. Translation and Accessibility issues</t>
        </is>
      </c>
      <c r="D40" t="inlineStr">
        <is>
          <t>FILTER-13581</t>
        </is>
      </c>
      <c r="E40" t="inlineStr">
        <is>
          <t>Escape Defect</t>
        </is>
      </c>
      <c r="F40" t="inlineStr">
        <is>
          <t>Altamash Heroli</t>
        </is>
      </c>
      <c r="G40" t="inlineStr">
        <is>
          <t>QA Verified</t>
        </is>
      </c>
      <c r="H40" t="inlineStr"/>
      <c r="I40" t="inlineStr">
        <is>
          <t>P1</t>
        </is>
      </c>
      <c r="J40" s="30" t="n">
        <v>46128</v>
      </c>
      <c r="L40" s="30" t="n">
        <v>46135</v>
      </c>
      <c r="M40" t="inlineStr">
        <is>
          <t>sprint-Hanna</t>
        </is>
      </c>
      <c r="N40" s="11" t="n">
        <v>3</v>
      </c>
      <c r="O40" s="11" t="n">
        <v>5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QA</t>
        </is>
      </c>
      <c r="B41" s="29" t="inlineStr">
        <is>
          <t>FILTER-13741</t>
        </is>
      </c>
      <c r="C41" s="21" t="inlineStr">
        <is>
          <t>QA- P1 Escalation-Filter reports file URLs are easily guessable and the S3 bucket used for downloads is publicly accessible.</t>
        </is>
      </c>
      <c r="D41" t="inlineStr">
        <is>
          <t>FILTER-13739</t>
        </is>
      </c>
      <c r="E41" t="inlineStr">
        <is>
          <t>Escape Defect</t>
        </is>
      </c>
      <c r="F41" t="inlineStr">
        <is>
          <t>Altamash Heroli</t>
        </is>
      </c>
      <c r="G41" t="inlineStr">
        <is>
          <t>QA Verified</t>
        </is>
      </c>
      <c r="H41" t="inlineStr"/>
      <c r="I41" t="inlineStr">
        <is>
          <t>P1</t>
        </is>
      </c>
      <c r="J41" s="30" t="n">
        <v>46134</v>
      </c>
      <c r="L41" s="30" t="n">
        <v>46136</v>
      </c>
      <c r="M41" t="inlineStr">
        <is>
          <t>sprint-Hanna</t>
        </is>
      </c>
      <c r="N41" s="11" t="n">
        <v>3</v>
      </c>
      <c r="O41" s="11" t="n">
        <v>2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QA</t>
        </is>
      </c>
      <c r="B42" s="29" t="inlineStr">
        <is>
          <t>FILTER-13749</t>
        </is>
      </c>
      <c r="C42" s="21" t="inlineStr">
        <is>
          <t>QA- Filter &gt;&gt; Download, Email, and Scheduled reports are not working.</t>
        </is>
      </c>
      <c r="D42" t="inlineStr">
        <is>
          <t>FILTER-13743</t>
        </is>
      </c>
      <c r="E42" t="inlineStr">
        <is>
          <t>Escape Defect</t>
        </is>
      </c>
      <c r="F42" t="inlineStr">
        <is>
          <t>Altamash Heroli</t>
        </is>
      </c>
      <c r="G42" t="inlineStr">
        <is>
          <t>QA Verified</t>
        </is>
      </c>
      <c r="H42" t="inlineStr"/>
      <c r="I42" t="inlineStr">
        <is>
          <t>P0</t>
        </is>
      </c>
      <c r="J42" s="30" t="n">
        <v>46135</v>
      </c>
      <c r="L42" s="30" t="n">
        <v>46136</v>
      </c>
      <c r="M42" t="inlineStr">
        <is>
          <t>sprint-Hanna</t>
        </is>
      </c>
      <c r="N42" s="11" t="n">
        <v>0.02</v>
      </c>
      <c r="O42" s="11" t="n">
        <v>2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Automation</t>
        </is>
      </c>
      <c r="B43" s="29" t="inlineStr">
        <is>
          <t>FILTER-11243</t>
        </is>
      </c>
      <c r="C43" s="21" t="inlineStr">
        <is>
          <t>Automated E2E Regression Test: Fix Unwanted f.txt File Download on Google Image Scroll</t>
        </is>
      </c>
      <c r="D43" t="inlineStr">
        <is>
          <t>FILTER-7666</t>
        </is>
      </c>
      <c r="E43" t="inlineStr">
        <is>
          <t>Escape Defect</t>
        </is>
      </c>
      <c r="F43" t="inlineStr">
        <is>
          <t>Amit Shete</t>
        </is>
      </c>
      <c r="G43" t="inlineStr">
        <is>
          <t>Closed without action</t>
        </is>
      </c>
      <c r="H43" t="inlineStr"/>
      <c r="I43" t="inlineStr">
        <is>
          <t>P1</t>
        </is>
      </c>
      <c r="J43" s="30" t="n">
        <v>45994</v>
      </c>
      <c r="L43" s="30" t="n">
        <v>46140</v>
      </c>
      <c r="M43" t="inlineStr">
        <is>
          <t>sprint-Hanna</t>
        </is>
      </c>
      <c r="N43" s="11" t="n">
        <v>0</v>
      </c>
      <c r="O43" s="11" t="n">
        <v>0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Automation</t>
        </is>
      </c>
      <c r="B44" s="29" t="inlineStr">
        <is>
          <t>FILTER-11382</t>
        </is>
      </c>
      <c r="C44" s="21" t="inlineStr">
        <is>
          <t>Automated E2E Regression Test: Validate Complete YouTube URL Logging from Embedded Clicks</t>
        </is>
      </c>
      <c r="D44" t="inlineStr">
        <is>
          <t>FILTER-11181</t>
        </is>
      </c>
      <c r="E44" t="inlineStr">
        <is>
          <t>Escape Defect</t>
        </is>
      </c>
      <c r="F44" t="inlineStr">
        <is>
          <t>Amit Shete</t>
        </is>
      </c>
      <c r="G44" t="inlineStr">
        <is>
          <t>Closed without action</t>
        </is>
      </c>
      <c r="H44" t="inlineStr"/>
      <c r="I44" t="inlineStr">
        <is>
          <t>P2</t>
        </is>
      </c>
      <c r="J44" s="30" t="n">
        <v>46000</v>
      </c>
      <c r="L44" s="30" t="n">
        <v>46126</v>
      </c>
      <c r="M44" t="inlineStr">
        <is>
          <t>sprint-Hanna</t>
        </is>
      </c>
      <c r="N44" s="11" t="n">
        <v>0</v>
      </c>
      <c r="O44" s="11" t="n">
        <v>6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Automation</t>
        </is>
      </c>
      <c r="B45" s="29" t="inlineStr">
        <is>
          <t>FILTER-11537</t>
        </is>
      </c>
      <c r="C45" s="21" t="inlineStr">
        <is>
          <t>New Feature | Automation Suite Development (Tokenization &amp; Resilience)</t>
        </is>
      </c>
      <c r="D45" t="inlineStr">
        <is>
          <t>FILTER-11532</t>
        </is>
      </c>
      <c r="E45" t="inlineStr">
        <is>
          <t>Story</t>
        </is>
      </c>
      <c r="F45" t="inlineStr">
        <is>
          <t>Amit Shete</t>
        </is>
      </c>
      <c r="G45" t="inlineStr">
        <is>
          <t>Closed without action</t>
        </is>
      </c>
      <c r="H45" t="inlineStr"/>
      <c r="I45" t="inlineStr">
        <is>
          <t>P3</t>
        </is>
      </c>
      <c r="J45" s="30" t="n">
        <v>46010</v>
      </c>
      <c r="L45" s="30" t="n">
        <v>46140</v>
      </c>
      <c r="M45" t="inlineStr">
        <is>
          <t>sprint-Hanna</t>
        </is>
      </c>
      <c r="N45" s="11" t="n">
        <v>0</v>
      </c>
      <c r="O45" s="11" t="n">
        <v>6</v>
      </c>
      <c r="P45" t="inlineStr">
        <is>
          <t>FILTER</t>
        </is>
      </c>
      <c r="Q45" t="inlineStr">
        <is>
          <t>Capitalized-Feature</t>
        </is>
      </c>
      <c r="R45" t="inlineStr"/>
      <c r="S45" t="inlineStr"/>
    </row>
    <row r="46">
      <c r="A46" t="inlineStr">
        <is>
          <t>Automation</t>
        </is>
      </c>
      <c r="B46" s="29" t="inlineStr">
        <is>
          <t>FILTER-11656</t>
        </is>
      </c>
      <c r="C46" s="21" t="inlineStr">
        <is>
          <t>Create Automated Tests for Crextn Google Workspace Blocking</t>
        </is>
      </c>
      <c r="D46" t="inlineStr">
        <is>
          <t>FILTER-11654</t>
        </is>
      </c>
      <c r="E46" t="inlineStr">
        <is>
          <t>Escape Defect</t>
        </is>
      </c>
      <c r="F46" t="inlineStr">
        <is>
          <t>Amit Shete</t>
        </is>
      </c>
      <c r="G46" t="inlineStr">
        <is>
          <t>Closed without action</t>
        </is>
      </c>
      <c r="H46" t="inlineStr"/>
      <c r="I46" t="inlineStr">
        <is>
          <t>P1</t>
        </is>
      </c>
      <c r="J46" s="30" t="n">
        <v>46037</v>
      </c>
      <c r="L46" s="30" t="n">
        <v>46140</v>
      </c>
      <c r="M46" t="inlineStr">
        <is>
          <t>sprint-Hanna</t>
        </is>
      </c>
      <c r="N46" s="11" t="n">
        <v>7.5</v>
      </c>
      <c r="O46" s="11" t="n">
        <v>7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Automation</t>
        </is>
      </c>
      <c r="B47" s="29" t="inlineStr">
        <is>
          <t>FILTER-11660</t>
        </is>
      </c>
      <c r="C47" s="21" t="inlineStr">
        <is>
          <t>Create Automated Tests for FluentD Tokenization Phase 3 (UserToken)</t>
        </is>
      </c>
      <c r="D47" t="inlineStr">
        <is>
          <t>FILTER-11631</t>
        </is>
      </c>
      <c r="E47" t="inlineStr">
        <is>
          <t>Story</t>
        </is>
      </c>
      <c r="F47" t="inlineStr">
        <is>
          <t>Amit Shete</t>
        </is>
      </c>
      <c r="G47" t="inlineStr">
        <is>
          <t>Done</t>
        </is>
      </c>
      <c r="H47" t="inlineStr"/>
      <c r="I47" t="inlineStr">
        <is>
          <t>P3</t>
        </is>
      </c>
      <c r="J47" s="30" t="n">
        <v>46037</v>
      </c>
      <c r="L47" s="30" t="n">
        <v>46126</v>
      </c>
      <c r="M47" t="inlineStr">
        <is>
          <t>sprint-Hanna</t>
        </is>
      </c>
      <c r="N47" s="11" t="n">
        <v>6</v>
      </c>
      <c r="O47" s="11" t="n">
        <v>6</v>
      </c>
      <c r="P47" t="inlineStr">
        <is>
          <t>FILTER</t>
        </is>
      </c>
      <c r="Q47" t="inlineStr">
        <is>
          <t>Capitalized-Feature</t>
        </is>
      </c>
      <c r="R47" t="inlineStr"/>
      <c r="S47" t="inlineStr"/>
    </row>
    <row r="48">
      <c r="A48" t="inlineStr">
        <is>
          <t>Automation</t>
        </is>
      </c>
      <c r="B48" s="29" t="inlineStr">
        <is>
          <t>FILTER-11845</t>
        </is>
      </c>
      <c r="C48" s="21" t="inlineStr">
        <is>
          <t>Add test cases for SafetyConsole CustomList API token invalidation</t>
        </is>
      </c>
      <c r="D48" t="inlineStr">
        <is>
          <t>FILTER-11687</t>
        </is>
      </c>
      <c r="E48" t="inlineStr">
        <is>
          <t>Defect</t>
        </is>
      </c>
      <c r="F48" t="inlineStr">
        <is>
          <t>Amit Shete</t>
        </is>
      </c>
      <c r="G48" t="inlineStr">
        <is>
          <t>Done</t>
        </is>
      </c>
      <c r="H48" t="inlineStr"/>
      <c r="I48" t="inlineStr">
        <is>
          <t>P2</t>
        </is>
      </c>
      <c r="J48" s="30" t="n">
        <v>46051</v>
      </c>
      <c r="L48" s="30" t="n">
        <v>46126</v>
      </c>
      <c r="M48" t="inlineStr">
        <is>
          <t>sprint-Hanna</t>
        </is>
      </c>
      <c r="N48" s="11" t="n">
        <v>4</v>
      </c>
      <c r="O48" s="11" t="n">
        <v>4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Automation</t>
        </is>
      </c>
      <c r="B49" s="29" t="inlineStr">
        <is>
          <t>FILTER-11874</t>
        </is>
      </c>
      <c r="C49" s="21" t="inlineStr">
        <is>
          <t>Add tests for CustomList API token invalidation on Filter Product disable</t>
        </is>
      </c>
      <c r="D49" t="inlineStr">
        <is>
          <t>FILTER-11688</t>
        </is>
      </c>
      <c r="E49" t="inlineStr">
        <is>
          <t>Escape Defect</t>
        </is>
      </c>
      <c r="F49" t="inlineStr">
        <is>
          <t>Amit Shete</t>
        </is>
      </c>
      <c r="G49" t="inlineStr">
        <is>
          <t>Done</t>
        </is>
      </c>
      <c r="H49" t="inlineStr"/>
      <c r="I49" t="inlineStr">
        <is>
          <t>P3</t>
        </is>
      </c>
      <c r="J49" s="30" t="n">
        <v>46051</v>
      </c>
      <c r="L49" s="30" t="n">
        <v>46126</v>
      </c>
      <c r="M49" t="inlineStr">
        <is>
          <t>sprint-Hanna</t>
        </is>
      </c>
      <c r="N49" s="11" t="n">
        <v>4</v>
      </c>
      <c r="O49" s="11" t="n">
        <v>4</v>
      </c>
      <c r="P49" t="inlineStr">
        <is>
          <t>FILTER</t>
        </is>
      </c>
      <c r="Q49" t="inlineStr"/>
      <c r="R49" t="inlineStr"/>
      <c r="S49" t="inlineStr"/>
    </row>
    <row r="50">
      <c r="A50" t="inlineStr">
        <is>
          <t>Automation</t>
        </is>
      </c>
      <c r="B50" s="29" t="inlineStr">
        <is>
          <t>FILTER-12040</t>
        </is>
      </c>
      <c r="C50" s="21" t="inlineStr">
        <is>
          <t>Add regression coverage for bookmark + stop-request bypass</t>
        </is>
      </c>
      <c r="D50" t="inlineStr">
        <is>
          <t>FILTER-12010</t>
        </is>
      </c>
      <c r="E50" t="inlineStr">
        <is>
          <t>Escape Defect</t>
        </is>
      </c>
      <c r="F50" t="inlineStr">
        <is>
          <t>Amit Shete</t>
        </is>
      </c>
      <c r="G50" t="inlineStr">
        <is>
          <t>Done</t>
        </is>
      </c>
      <c r="H50" t="inlineStr"/>
      <c r="I50" t="inlineStr">
        <is>
          <t>P1</t>
        </is>
      </c>
      <c r="J50" s="30" t="n">
        <v>46065</v>
      </c>
      <c r="L50" s="30" t="n">
        <v>46126</v>
      </c>
      <c r="M50" t="inlineStr">
        <is>
          <t>sprint-Hanna</t>
        </is>
      </c>
      <c r="N50" s="11" t="n">
        <v>4</v>
      </c>
      <c r="O50" s="11" t="n">
        <v>4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Automation</t>
        </is>
      </c>
      <c r="B51" s="29" t="inlineStr">
        <is>
          <t>FILTER-12187</t>
        </is>
      </c>
      <c r="C51" s="21" t="inlineStr">
        <is>
          <t xml:space="preserve"> Scripting for GO broker SSO cookie and JWT auth regression</t>
        </is>
      </c>
      <c r="D51" t="inlineStr">
        <is>
          <t>FILTER-12048</t>
        </is>
      </c>
      <c r="E51" t="inlineStr">
        <is>
          <t>Escape Defect</t>
        </is>
      </c>
      <c r="F51" t="inlineStr">
        <is>
          <t>Amit Shete</t>
        </is>
      </c>
      <c r="G51" t="inlineStr">
        <is>
          <t>Closed without action</t>
        </is>
      </c>
      <c r="H51" t="inlineStr"/>
      <c r="I51" t="inlineStr">
        <is>
          <t>P2</t>
        </is>
      </c>
      <c r="J51" s="30" t="n">
        <v>46078</v>
      </c>
      <c r="L51" s="30" t="n">
        <v>46132</v>
      </c>
      <c r="M51" t="inlineStr">
        <is>
          <t>sprint-Hanna</t>
        </is>
      </c>
      <c r="N51" s="11" t="n">
        <v>0</v>
      </c>
      <c r="O51" s="11" t="n">
        <v>8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Automation</t>
        </is>
      </c>
      <c r="B52" s="29" t="inlineStr">
        <is>
          <t>FILTER-12201</t>
        </is>
      </c>
      <c r="C52" s="21" t="inlineStr">
        <is>
          <t>SPROX Testing with P0 suite</t>
        </is>
      </c>
      <c r="D52" t="inlineStr">
        <is>
          <t>FILTER-12199</t>
        </is>
      </c>
      <c r="E52" t="inlineStr">
        <is>
          <t>Task</t>
        </is>
      </c>
      <c r="F52" t="inlineStr">
        <is>
          <t>Amit Shete</t>
        </is>
      </c>
      <c r="G52" t="inlineStr">
        <is>
          <t>Done</t>
        </is>
      </c>
      <c r="H52" t="inlineStr"/>
      <c r="I52" t="inlineStr">
        <is>
          <t>P2</t>
        </is>
      </c>
      <c r="J52" s="30" t="n">
        <v>46078</v>
      </c>
      <c r="L52" s="30" t="n">
        <v>46126</v>
      </c>
      <c r="M52" t="inlineStr">
        <is>
          <t>sprint-Hanna</t>
        </is>
      </c>
      <c r="N52" s="11" t="n">
        <v>4.5</v>
      </c>
      <c r="O52" s="11" t="n">
        <v>8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Automation</t>
        </is>
      </c>
      <c r="B53" s="29" t="inlineStr">
        <is>
          <t>FILTER-12562</t>
        </is>
      </c>
      <c r="C53" s="21" t="inlineStr">
        <is>
          <t>Re-run SPROX Testing with P0 suite post Dev Fixes</t>
        </is>
      </c>
      <c r="D53" t="inlineStr">
        <is>
          <t>FILTER-12199</t>
        </is>
      </c>
      <c r="E53" t="inlineStr">
        <is>
          <t>Task</t>
        </is>
      </c>
      <c r="F53" t="inlineStr">
        <is>
          <t>Amit Shete</t>
        </is>
      </c>
      <c r="G53" t="inlineStr">
        <is>
          <t>Done</t>
        </is>
      </c>
      <c r="H53" t="inlineStr"/>
      <c r="I53" t="inlineStr">
        <is>
          <t>P2</t>
        </is>
      </c>
      <c r="J53" s="30" t="n">
        <v>46099</v>
      </c>
      <c r="L53" s="30" t="n">
        <v>46126</v>
      </c>
      <c r="M53" t="inlineStr">
        <is>
          <t>sprint-Hanna</t>
        </is>
      </c>
      <c r="N53" s="11" t="n">
        <v>6</v>
      </c>
      <c r="O53" s="11" t="n">
        <v>6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Automation</t>
        </is>
      </c>
      <c r="B54" s="29" t="inlineStr">
        <is>
          <t>FILTER-12707</t>
        </is>
      </c>
      <c r="C54" s="21" t="inlineStr">
        <is>
          <t>QA- Support Tool &gt;&gt; Custom list UI. Custom List table and Custom List Resource table headers are not in bold</t>
        </is>
      </c>
      <c r="D54" t="inlineStr">
        <is>
          <t>FILTER-12702</t>
        </is>
      </c>
      <c r="E54" t="inlineStr">
        <is>
          <t>Defect</t>
        </is>
      </c>
      <c r="F54" t="inlineStr">
        <is>
          <t>Amit Shete</t>
        </is>
      </c>
      <c r="G54" t="inlineStr">
        <is>
          <t>Closed without action</t>
        </is>
      </c>
      <c r="H54" t="inlineStr"/>
      <c r="I54" t="inlineStr">
        <is>
          <t>P3</t>
        </is>
      </c>
      <c r="J54" s="30" t="n">
        <v>46107</v>
      </c>
      <c r="L54" s="30" t="n">
        <v>46126</v>
      </c>
      <c r="M54" t="inlineStr">
        <is>
          <t>sprint-Hanna</t>
        </is>
      </c>
      <c r="N54" s="11" t="n">
        <v>0</v>
      </c>
      <c r="O54" s="11" t="n">
        <v>0</v>
      </c>
      <c r="P54" t="inlineStr">
        <is>
          <t>FILTER</t>
        </is>
      </c>
      <c r="Q54" t="inlineStr"/>
      <c r="R54" t="inlineStr"/>
      <c r="S54" t="inlineStr"/>
    </row>
    <row r="55">
      <c r="A55" t="inlineStr">
        <is>
          <t>Automation</t>
        </is>
      </c>
      <c r="B55" s="29" t="inlineStr">
        <is>
          <t>FILTER-12721</t>
        </is>
      </c>
      <c r="C55" s="21" t="inlineStr">
        <is>
          <t>QA- TS Ext + Go. Site Approved via TWL process, gets logged in Default Policy rather than Global Policy</t>
        </is>
      </c>
      <c r="D55" t="inlineStr">
        <is>
          <t>FILTER-12716</t>
        </is>
      </c>
      <c r="E55" t="inlineStr">
        <is>
          <t>Escape Defect</t>
        </is>
      </c>
      <c r="F55" t="inlineStr">
        <is>
          <t>Amit Shete</t>
        </is>
      </c>
      <c r="G55" t="inlineStr">
        <is>
          <t>Closed without action</t>
        </is>
      </c>
      <c r="H55" t="inlineStr"/>
      <c r="I55" t="inlineStr">
        <is>
          <t>P2</t>
        </is>
      </c>
      <c r="J55" s="30" t="n">
        <v>46107</v>
      </c>
      <c r="L55" s="30" t="n">
        <v>46140</v>
      </c>
      <c r="M55" t="inlineStr">
        <is>
          <t>sprint-Hanna</t>
        </is>
      </c>
      <c r="N55" s="11" t="n">
        <v>0</v>
      </c>
      <c r="O55" s="11" t="n">
        <v>0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Automation</t>
        </is>
      </c>
      <c r="B56" s="29" t="inlineStr">
        <is>
          <t>FILTER-12771</t>
        </is>
      </c>
      <c r="C56" s="21" t="inlineStr">
        <is>
          <t>QA- Support Tool &gt;&gt; Custom list UI. Custom List table.  Listing Order is incorrect. Should be A-Z.</t>
        </is>
      </c>
      <c r="D56" t="inlineStr">
        <is>
          <t>FILTER-12768</t>
        </is>
      </c>
      <c r="E56" t="inlineStr">
        <is>
          <t>Defect</t>
        </is>
      </c>
      <c r="F56" t="inlineStr">
        <is>
          <t>Amit Shete</t>
        </is>
      </c>
      <c r="G56" t="inlineStr">
        <is>
          <t>Closed without action</t>
        </is>
      </c>
      <c r="H56" t="inlineStr"/>
      <c r="I56" t="inlineStr">
        <is>
          <t>P3</t>
        </is>
      </c>
      <c r="J56" s="30" t="n">
        <v>46108</v>
      </c>
      <c r="L56" s="30" t="n">
        <v>46126</v>
      </c>
      <c r="M56" t="inlineStr">
        <is>
          <t>sprint-Hanna</t>
        </is>
      </c>
      <c r="N56" s="11" t="n">
        <v>0</v>
      </c>
      <c r="O56" s="11" t="n">
        <v>0</v>
      </c>
      <c r="P56" t="inlineStr">
        <is>
          <t>FILTER</t>
        </is>
      </c>
      <c r="Q56" t="inlineStr"/>
      <c r="R56" t="inlineStr"/>
      <c r="S56" t="inlineStr"/>
    </row>
    <row r="57">
      <c r="A57" t="inlineStr">
        <is>
          <t>Automation</t>
        </is>
      </c>
      <c r="B57" s="29" t="inlineStr">
        <is>
          <t>FILTER-12775</t>
        </is>
      </c>
      <c r="C57" s="21" t="inlineStr">
        <is>
          <t>QA- Support Tool &gt;&gt; Custom list UI. Custom List table &gt;&gt; List names become center aligned if the Brower Zoom is 110% or more.</t>
        </is>
      </c>
      <c r="D57" t="inlineStr">
        <is>
          <t>FILTER-12772</t>
        </is>
      </c>
      <c r="E57" t="inlineStr">
        <is>
          <t>Defect</t>
        </is>
      </c>
      <c r="F57" t="inlineStr">
        <is>
          <t>Amit Shete</t>
        </is>
      </c>
      <c r="G57" t="inlineStr">
        <is>
          <t>Closed without action</t>
        </is>
      </c>
      <c r="H57" t="inlineStr"/>
      <c r="I57" t="inlineStr">
        <is>
          <t>P3</t>
        </is>
      </c>
      <c r="J57" s="30" t="n">
        <v>46108</v>
      </c>
      <c r="L57" s="30" t="n">
        <v>46133</v>
      </c>
      <c r="M57" t="inlineStr">
        <is>
          <t>sprint-Hanna</t>
        </is>
      </c>
      <c r="N57" s="11" t="n">
        <v>0</v>
      </c>
      <c r="O57" s="11" t="n">
        <v>0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Automation</t>
        </is>
      </c>
      <c r="B58" s="29" t="inlineStr">
        <is>
          <t>FILTER-12779</t>
        </is>
      </c>
      <c r="C58" s="21" t="inlineStr">
        <is>
          <t>QA- Support Tool &gt;&gt; Custom list UI. Custom List table &gt;&gt; Action icons lose aligned if the Brower Zoom is 110% or more.</t>
        </is>
      </c>
      <c r="D58" t="inlineStr">
        <is>
          <t>FILTER-12776</t>
        </is>
      </c>
      <c r="E58" t="inlineStr">
        <is>
          <t>Defect</t>
        </is>
      </c>
      <c r="F58" t="inlineStr">
        <is>
          <t>Amit Shete</t>
        </is>
      </c>
      <c r="G58" t="inlineStr">
        <is>
          <t>Closed without action</t>
        </is>
      </c>
      <c r="H58" t="inlineStr"/>
      <c r="I58" t="inlineStr">
        <is>
          <t>P3</t>
        </is>
      </c>
      <c r="J58" s="30" t="n">
        <v>46108</v>
      </c>
      <c r="L58" s="30" t="n">
        <v>46126</v>
      </c>
      <c r="M58" t="inlineStr">
        <is>
          <t>sprint-Hanna</t>
        </is>
      </c>
      <c r="N58" s="11" t="n">
        <v>0</v>
      </c>
      <c r="O58" s="11" t="n">
        <v>0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Automation</t>
        </is>
      </c>
      <c r="B59" s="29" t="inlineStr">
        <is>
          <t>FILTER-12799</t>
        </is>
      </c>
      <c r="C59" s="21" t="inlineStr">
        <is>
          <t>QA- Update Cron Job for tokenization</t>
        </is>
      </c>
      <c r="D59" t="inlineStr">
        <is>
          <t>FILTER-12796</t>
        </is>
      </c>
      <c r="E59" t="inlineStr">
        <is>
          <t>Task</t>
        </is>
      </c>
      <c r="F59" t="inlineStr">
        <is>
          <t>Amit Shete</t>
        </is>
      </c>
      <c r="G59" t="inlineStr">
        <is>
          <t>Closed without action</t>
        </is>
      </c>
      <c r="H59" t="inlineStr"/>
      <c r="I59" t="inlineStr">
        <is>
          <t>P3</t>
        </is>
      </c>
      <c r="J59" s="30" t="n">
        <v>46108</v>
      </c>
      <c r="L59" s="30" t="n">
        <v>46140</v>
      </c>
      <c r="M59" t="inlineStr">
        <is>
          <t>sprint-Hanna</t>
        </is>
      </c>
      <c r="N59" s="11" t="n">
        <v>0</v>
      </c>
      <c r="O59" s="11" t="n">
        <v>0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Automation</t>
        </is>
      </c>
      <c r="B60" s="29" t="inlineStr">
        <is>
          <t>FILTER-12859</t>
        </is>
      </c>
      <c r="C60" s="21" t="inlineStr">
        <is>
          <t>QA- Support Tool &gt;&gt; Custom list UI. Custom List table &gt;&gt; "Updated on" field's date format is inconsistent with date format on FID listing page's " Last edited / created" field</t>
        </is>
      </c>
      <c r="D60" t="inlineStr">
        <is>
          <t>FILTER-12856</t>
        </is>
      </c>
      <c r="E60" t="inlineStr">
        <is>
          <t>Defect</t>
        </is>
      </c>
      <c r="F60" t="inlineStr">
        <is>
          <t>Amit Shete</t>
        </is>
      </c>
      <c r="G60" t="inlineStr">
        <is>
          <t>Closed without action</t>
        </is>
      </c>
      <c r="H60" t="inlineStr"/>
      <c r="I60" t="inlineStr">
        <is>
          <t>P3</t>
        </is>
      </c>
      <c r="J60" s="30" t="n">
        <v>46108</v>
      </c>
      <c r="L60" s="30" t="n">
        <v>46126</v>
      </c>
      <c r="M60" t="inlineStr">
        <is>
          <t>sprint-Hanna</t>
        </is>
      </c>
      <c r="N60" s="11" t="n">
        <v>0</v>
      </c>
      <c r="O60" s="11" t="n">
        <v>0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Automation</t>
        </is>
      </c>
      <c r="B61" s="29" t="inlineStr">
        <is>
          <t>FILTER-12867</t>
        </is>
      </c>
      <c r="C61" s="21" t="inlineStr">
        <is>
          <t>QA- Support Tool &gt;&gt; Custom list UI. Custom List table &gt;&gt; "Last updated by" field is not showing value for every list</t>
        </is>
      </c>
      <c r="D61" t="inlineStr">
        <is>
          <t>FILTER-12864</t>
        </is>
      </c>
      <c r="E61" t="inlineStr">
        <is>
          <t>Defect</t>
        </is>
      </c>
      <c r="F61" t="inlineStr">
        <is>
          <t>Amit Shete</t>
        </is>
      </c>
      <c r="G61" t="inlineStr">
        <is>
          <t>Closed without action</t>
        </is>
      </c>
      <c r="H61" t="inlineStr"/>
      <c r="I61" t="inlineStr">
        <is>
          <t>P2</t>
        </is>
      </c>
      <c r="J61" s="30" t="n">
        <v>46108</v>
      </c>
      <c r="L61" s="30" t="n">
        <v>46126</v>
      </c>
      <c r="M61" t="inlineStr">
        <is>
          <t>sprint-Hanna</t>
        </is>
      </c>
      <c r="N61" s="11" t="n">
        <v>0</v>
      </c>
      <c r="O61" s="11" t="n">
        <v>0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Automation</t>
        </is>
      </c>
      <c r="B62" s="29" t="inlineStr">
        <is>
          <t>FILTER-12871</t>
        </is>
      </c>
      <c r="C62" s="21" t="inlineStr">
        <is>
          <t>QA- Support Tool &gt;&gt; Custom list UI. Custom List table &gt;&gt; we are able to see global lists which are created by non support tool users as well</t>
        </is>
      </c>
      <c r="D62" t="inlineStr">
        <is>
          <t>FILTER-12868</t>
        </is>
      </c>
      <c r="E62" t="inlineStr">
        <is>
          <t>Defect</t>
        </is>
      </c>
      <c r="F62" t="inlineStr">
        <is>
          <t>Amit Shete</t>
        </is>
      </c>
      <c r="G62" t="inlineStr">
        <is>
          <t>Closed without action</t>
        </is>
      </c>
      <c r="H62" t="inlineStr"/>
      <c r="I62" t="inlineStr">
        <is>
          <t>P1</t>
        </is>
      </c>
      <c r="J62" s="30" t="n">
        <v>46108</v>
      </c>
      <c r="L62" s="30" t="n">
        <v>46126</v>
      </c>
      <c r="M62" t="inlineStr">
        <is>
          <t>sprint-Hanna</t>
        </is>
      </c>
      <c r="N62" s="11" t="n">
        <v>0</v>
      </c>
      <c r="O62" s="11" t="n">
        <v>0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Automation</t>
        </is>
      </c>
      <c r="B63" s="29" t="inlineStr">
        <is>
          <t>FILTER-12875</t>
        </is>
      </c>
      <c r="C63" s="21" t="inlineStr">
        <is>
          <t>QA- Support Tool &gt;&gt; Custom list UI. Custom List table,  Custom List Resource table &gt;&gt; icons section missing table header</t>
        </is>
      </c>
      <c r="D63" t="inlineStr">
        <is>
          <t>FILTER-12872</t>
        </is>
      </c>
      <c r="E63" t="inlineStr">
        <is>
          <t>Defect</t>
        </is>
      </c>
      <c r="F63" t="inlineStr">
        <is>
          <t>Amit Shete</t>
        </is>
      </c>
      <c r="G63" t="inlineStr">
        <is>
          <t>Closed without action</t>
        </is>
      </c>
      <c r="H63" t="inlineStr"/>
      <c r="I63" t="inlineStr">
        <is>
          <t>P3</t>
        </is>
      </c>
      <c r="J63" s="30" t="n">
        <v>46108</v>
      </c>
      <c r="L63" s="30" t="n">
        <v>46126</v>
      </c>
      <c r="M63" t="inlineStr">
        <is>
          <t>sprint-Hanna</t>
        </is>
      </c>
      <c r="N63" s="11" t="n">
        <v>0</v>
      </c>
      <c r="O63" s="11" t="n">
        <v>0</v>
      </c>
      <c r="P63" t="inlineStr">
        <is>
          <t>FILTER</t>
        </is>
      </c>
      <c r="Q63" t="inlineStr"/>
      <c r="R63" t="inlineStr"/>
      <c r="S63" t="inlineStr"/>
    </row>
    <row r="64">
      <c r="A64" t="inlineStr">
        <is>
          <t>Automation</t>
        </is>
      </c>
      <c r="B64" s="29" t="inlineStr">
        <is>
          <t>FILTER-12887</t>
        </is>
      </c>
      <c r="C64" s="21" t="inlineStr">
        <is>
          <t>QA- Support Tool &gt;&gt; Custom list UI. Custom List table, Custom List Resource table &gt;&gt; Formatting issues in table if List Name and Comment is big (255 characters each)</t>
        </is>
      </c>
      <c r="D64" t="inlineStr">
        <is>
          <t>FILTER-12884</t>
        </is>
      </c>
      <c r="E64" t="inlineStr">
        <is>
          <t>Defect</t>
        </is>
      </c>
      <c r="F64" t="inlineStr">
        <is>
          <t>Amit Shete</t>
        </is>
      </c>
      <c r="G64" t="inlineStr">
        <is>
          <t>Closed without action</t>
        </is>
      </c>
      <c r="H64" t="inlineStr"/>
      <c r="I64" t="inlineStr">
        <is>
          <t>P3</t>
        </is>
      </c>
      <c r="J64" s="30" t="n">
        <v>46108</v>
      </c>
      <c r="L64" s="30" t="n">
        <v>46126</v>
      </c>
      <c r="M64" t="inlineStr">
        <is>
          <t>sprint-Hanna</t>
        </is>
      </c>
      <c r="N64" s="11" t="n">
        <v>0</v>
      </c>
      <c r="O64" s="11" t="n">
        <v>0</v>
      </c>
      <c r="P64" t="inlineStr">
        <is>
          <t>FILTER</t>
        </is>
      </c>
      <c r="Q64" t="inlineStr"/>
      <c r="R64" t="inlineStr"/>
      <c r="S64" t="inlineStr"/>
    </row>
    <row r="65">
      <c r="A65" t="inlineStr">
        <is>
          <t>Automation</t>
        </is>
      </c>
      <c r="B65" s="29" t="inlineStr">
        <is>
          <t>FILTER-12891</t>
        </is>
      </c>
      <c r="C65" s="21" t="inlineStr">
        <is>
          <t>QA- Support Tool &gt;&gt; Custom list UI. Create custom list and Edit custom list, pages do not have * mark for Mandatory fields</t>
        </is>
      </c>
      <c r="D65" t="inlineStr">
        <is>
          <t>FILTER-12888</t>
        </is>
      </c>
      <c r="E65" t="inlineStr">
        <is>
          <t>Defect</t>
        </is>
      </c>
      <c r="F65" t="inlineStr">
        <is>
          <t>Amit Shete</t>
        </is>
      </c>
      <c r="G65" t="inlineStr">
        <is>
          <t>Closed without action</t>
        </is>
      </c>
      <c r="H65" t="inlineStr"/>
      <c r="I65" t="inlineStr">
        <is>
          <t>P3</t>
        </is>
      </c>
      <c r="J65" s="30" t="n">
        <v>46108</v>
      </c>
      <c r="L65" s="30" t="n">
        <v>46126</v>
      </c>
      <c r="M65" t="inlineStr">
        <is>
          <t>sprint-Hanna</t>
        </is>
      </c>
      <c r="N65" s="11" t="n">
        <v>0</v>
      </c>
      <c r="O65" s="11" t="n">
        <v>0</v>
      </c>
      <c r="P65" t="inlineStr">
        <is>
          <t>FILTER</t>
        </is>
      </c>
      <c r="Q65" t="inlineStr"/>
      <c r="R65" t="inlineStr"/>
      <c r="S65" t="inlineStr"/>
    </row>
    <row r="66">
      <c r="A66" t="inlineStr">
        <is>
          <t>Automation</t>
        </is>
      </c>
      <c r="B66" s="29" t="inlineStr">
        <is>
          <t>FILTER-12895</t>
        </is>
      </c>
      <c r="C66" s="21" t="inlineStr">
        <is>
          <t>QA- Support Tool &gt;&gt; Custom list UI. Create custom list and Edit custom list, pages error message is not explanatory for more than 255 character length</t>
        </is>
      </c>
      <c r="D66" t="inlineStr">
        <is>
          <t>FILTER-12892</t>
        </is>
      </c>
      <c r="E66" t="inlineStr">
        <is>
          <t>Defect</t>
        </is>
      </c>
      <c r="F66" t="inlineStr">
        <is>
          <t>Amit Shete</t>
        </is>
      </c>
      <c r="G66" t="inlineStr">
        <is>
          <t>Closed without action</t>
        </is>
      </c>
      <c r="H66" t="inlineStr"/>
      <c r="I66" t="inlineStr">
        <is>
          <t>P2</t>
        </is>
      </c>
      <c r="J66" s="30" t="n">
        <v>46108</v>
      </c>
      <c r="L66" s="30" t="n">
        <v>46126</v>
      </c>
      <c r="M66" t="inlineStr">
        <is>
          <t>sprint-Hanna</t>
        </is>
      </c>
      <c r="N66" s="11" t="n">
        <v>0</v>
      </c>
      <c r="O66" s="11" t="n">
        <v>0</v>
      </c>
      <c r="P66" t="inlineStr">
        <is>
          <t>FILTER</t>
        </is>
      </c>
      <c r="Q66" t="inlineStr"/>
      <c r="R66" t="inlineStr"/>
      <c r="S66" t="inlineStr"/>
    </row>
    <row r="67">
      <c r="A67" t="inlineStr">
        <is>
          <t>Automation</t>
        </is>
      </c>
      <c r="B67" s="29" t="inlineStr">
        <is>
          <t>FILTER-12899</t>
        </is>
      </c>
      <c r="C67" s="21" t="inlineStr">
        <is>
          <t>QA- Support Tool &gt;&gt; Custom list UI. Create custom list Resource and Update custom list Resource, drawer should validated for comment length on Save of that drawer</t>
        </is>
      </c>
      <c r="D67" t="inlineStr">
        <is>
          <t>FILTER-12896</t>
        </is>
      </c>
      <c r="E67" t="inlineStr">
        <is>
          <t>Defect</t>
        </is>
      </c>
      <c r="F67" t="inlineStr">
        <is>
          <t>Amit Shete</t>
        </is>
      </c>
      <c r="G67" t="inlineStr">
        <is>
          <t>Closed without action</t>
        </is>
      </c>
      <c r="H67" t="inlineStr"/>
      <c r="I67" t="inlineStr">
        <is>
          <t>P2</t>
        </is>
      </c>
      <c r="J67" s="30" t="n">
        <v>46108</v>
      </c>
      <c r="L67" s="30" t="n">
        <v>46126</v>
      </c>
      <c r="M67" t="inlineStr">
        <is>
          <t>sprint-Hanna</t>
        </is>
      </c>
      <c r="N67" s="11" t="n">
        <v>0</v>
      </c>
      <c r="O67" s="11" t="n">
        <v>0</v>
      </c>
      <c r="P67" t="inlineStr">
        <is>
          <t>FILTER</t>
        </is>
      </c>
      <c r="Q67" t="inlineStr"/>
      <c r="R67" t="inlineStr"/>
      <c r="S67" t="inlineStr"/>
    </row>
    <row r="68">
      <c r="A68" t="inlineStr">
        <is>
          <t>Automation</t>
        </is>
      </c>
      <c r="B68" s="29" t="inlineStr">
        <is>
          <t>FILTER-12903</t>
        </is>
      </c>
      <c r="C68" s="21" t="inlineStr">
        <is>
          <t>QA- Support Tool &gt;&gt; Custom list UI. Create custom list and Edit custom list, pages error message is not explanatory for duplicate Custom list name</t>
        </is>
      </c>
      <c r="D68" t="inlineStr">
        <is>
          <t>FILTER-12900</t>
        </is>
      </c>
      <c r="E68" t="inlineStr">
        <is>
          <t>Defect</t>
        </is>
      </c>
      <c r="F68" t="inlineStr">
        <is>
          <t>Amit Shete</t>
        </is>
      </c>
      <c r="G68" t="inlineStr">
        <is>
          <t>Closed without action</t>
        </is>
      </c>
      <c r="H68" t="inlineStr"/>
      <c r="I68" t="inlineStr">
        <is>
          <t>P2</t>
        </is>
      </c>
      <c r="J68" s="30" t="n">
        <v>46108</v>
      </c>
      <c r="L68" s="30" t="n">
        <v>46126</v>
      </c>
      <c r="M68" t="inlineStr">
        <is>
          <t>sprint-Hanna</t>
        </is>
      </c>
      <c r="N68" s="11" t="n">
        <v>0</v>
      </c>
      <c r="O68" s="11" t="n">
        <v>0</v>
      </c>
      <c r="P68" t="inlineStr">
        <is>
          <t>FILTER</t>
        </is>
      </c>
      <c r="Q68" t="inlineStr"/>
      <c r="R68" t="inlineStr"/>
      <c r="S68" t="inlineStr"/>
    </row>
    <row r="69">
      <c r="A69" t="inlineStr">
        <is>
          <t>Automation</t>
        </is>
      </c>
      <c r="B69" s="29" t="inlineStr">
        <is>
          <t>FILTER-12907</t>
        </is>
      </c>
      <c r="C69" s="21" t="inlineStr">
        <is>
          <t>QA- Support Tool &gt;&gt; Custom list UI. Create custom list Resource and Edit custom list Resource, drawers donot check for duplicate Custom list resource.</t>
        </is>
      </c>
      <c r="D69" t="inlineStr">
        <is>
          <t>FILTER-12904</t>
        </is>
      </c>
      <c r="E69" t="inlineStr">
        <is>
          <t>Defect</t>
        </is>
      </c>
      <c r="F69" t="inlineStr">
        <is>
          <t>Amit Shete</t>
        </is>
      </c>
      <c r="G69" t="inlineStr">
        <is>
          <t>Closed without action</t>
        </is>
      </c>
      <c r="H69" t="inlineStr"/>
      <c r="I69" t="inlineStr">
        <is>
          <t>P2</t>
        </is>
      </c>
      <c r="J69" s="30" t="n">
        <v>46108</v>
      </c>
      <c r="L69" s="30" t="n">
        <v>46126</v>
      </c>
      <c r="M69" t="inlineStr">
        <is>
          <t>sprint-Hanna</t>
        </is>
      </c>
      <c r="N69" s="11" t="n">
        <v>0</v>
      </c>
      <c r="O69" s="11" t="n">
        <v>0</v>
      </c>
      <c r="P69" t="inlineStr">
        <is>
          <t>FILTER</t>
        </is>
      </c>
      <c r="Q69" t="inlineStr"/>
      <c r="R69" t="inlineStr"/>
      <c r="S69" t="inlineStr"/>
    </row>
    <row r="70">
      <c r="A70" t="inlineStr">
        <is>
          <t>Automation</t>
        </is>
      </c>
      <c r="B70" s="29" t="inlineStr">
        <is>
          <t>FILTER-12911</t>
        </is>
      </c>
      <c r="C70" s="21" t="inlineStr">
        <is>
          <t>QA- Support Tool &gt;&gt; Custom list UI. Edit custom list, User can change the Type on Edit.</t>
        </is>
      </c>
      <c r="D70" t="inlineStr">
        <is>
          <t>FILTER-12908</t>
        </is>
      </c>
      <c r="E70" t="inlineStr">
        <is>
          <t>Defect</t>
        </is>
      </c>
      <c r="F70" t="inlineStr">
        <is>
          <t>Amit Shete</t>
        </is>
      </c>
      <c r="G70" t="inlineStr">
        <is>
          <t>Closed without action</t>
        </is>
      </c>
      <c r="H70" t="inlineStr"/>
      <c r="I70" t="inlineStr">
        <is>
          <t>P1</t>
        </is>
      </c>
      <c r="J70" s="30" t="n">
        <v>46108</v>
      </c>
      <c r="L70" s="30" t="n">
        <v>46126</v>
      </c>
      <c r="M70" t="inlineStr">
        <is>
          <t>sprint-Hanna</t>
        </is>
      </c>
      <c r="N70" s="11" t="n">
        <v>0</v>
      </c>
      <c r="O70" s="11" t="n">
        <v>0</v>
      </c>
      <c r="P70" t="inlineStr">
        <is>
          <t>FILTER</t>
        </is>
      </c>
      <c r="Q70" t="inlineStr"/>
      <c r="R70" t="inlineStr"/>
      <c r="S70" t="inlineStr"/>
    </row>
    <row r="71">
      <c r="A71" t="inlineStr">
        <is>
          <t>Automation</t>
        </is>
      </c>
      <c r="B71" s="29" t="inlineStr">
        <is>
          <t>FILTER-12935</t>
        </is>
      </c>
      <c r="C71" s="21" t="inlineStr">
        <is>
          <t>QA- Support Tool &gt;&gt; Custom list UI. Edit custom list Search terms type, allows changing Match type and saves it. But does not reflect the change.</t>
        </is>
      </c>
      <c r="D71" t="inlineStr">
        <is>
          <t>FILTER-12932</t>
        </is>
      </c>
      <c r="E71" t="inlineStr">
        <is>
          <t>Defect</t>
        </is>
      </c>
      <c r="F71" t="inlineStr">
        <is>
          <t>Amit Shete</t>
        </is>
      </c>
      <c r="G71" t="inlineStr">
        <is>
          <t>Closed without action</t>
        </is>
      </c>
      <c r="H71" t="inlineStr"/>
      <c r="I71" t="inlineStr">
        <is>
          <t>P1</t>
        </is>
      </c>
      <c r="J71" s="30" t="n">
        <v>46108</v>
      </c>
      <c r="L71" s="30" t="n">
        <v>46126</v>
      </c>
      <c r="M71" t="inlineStr">
        <is>
          <t>sprint-Hanna</t>
        </is>
      </c>
      <c r="N71" s="11" t="n">
        <v>0</v>
      </c>
      <c r="O71" s="11" t="n">
        <v>0</v>
      </c>
      <c r="P71" t="inlineStr">
        <is>
          <t>FILTER</t>
        </is>
      </c>
      <c r="Q71" t="inlineStr"/>
      <c r="R71" t="inlineStr"/>
      <c r="S71" t="inlineStr"/>
    </row>
    <row r="72">
      <c r="A72" t="inlineStr">
        <is>
          <t>Automation</t>
        </is>
      </c>
      <c r="B72" s="29" t="inlineStr">
        <is>
          <t>FILTER-12939</t>
        </is>
      </c>
      <c r="C72" s="21" t="inlineStr">
        <is>
          <t>QA- Support Tool &gt;&gt; Custom list UI. Add custom list Search terms type, does not save for Match type Contains</t>
        </is>
      </c>
      <c r="D72" t="inlineStr">
        <is>
          <t>FILTER-12936</t>
        </is>
      </c>
      <c r="E72" t="inlineStr">
        <is>
          <t>Defect</t>
        </is>
      </c>
      <c r="F72" t="inlineStr">
        <is>
          <t>Amit Shete</t>
        </is>
      </c>
      <c r="G72" t="inlineStr">
        <is>
          <t>Closed without action</t>
        </is>
      </c>
      <c r="H72" t="inlineStr"/>
      <c r="I72" t="inlineStr">
        <is>
          <t>P1</t>
        </is>
      </c>
      <c r="J72" s="30" t="n">
        <v>46108</v>
      </c>
      <c r="L72" s="30" t="n">
        <v>46126</v>
      </c>
      <c r="M72" t="inlineStr">
        <is>
          <t>sprint-Hanna</t>
        </is>
      </c>
      <c r="N72" s="11" t="n">
        <v>0</v>
      </c>
      <c r="O72" s="11" t="n">
        <v>0</v>
      </c>
      <c r="P72" t="inlineStr">
        <is>
          <t>FILTER</t>
        </is>
      </c>
      <c r="Q72" t="inlineStr"/>
      <c r="R72" t="inlineStr"/>
      <c r="S72" t="inlineStr"/>
    </row>
    <row r="73">
      <c r="A73" t="inlineStr">
        <is>
          <t>Automation</t>
        </is>
      </c>
      <c r="B73" s="29" t="inlineStr">
        <is>
          <t>FILTER-13000</t>
        </is>
      </c>
      <c r="C73" s="21" t="inlineStr">
        <is>
          <t>QA- Support Tool &gt;&gt; Custom list UI.  Cross Cluster Create custom lists are not displayed in other clusters</t>
        </is>
      </c>
      <c r="D73" t="inlineStr">
        <is>
          <t>FILTER-12997</t>
        </is>
      </c>
      <c r="E73" t="inlineStr">
        <is>
          <t>Defect</t>
        </is>
      </c>
      <c r="F73" t="inlineStr">
        <is>
          <t>Amit Shete</t>
        </is>
      </c>
      <c r="G73" t="inlineStr">
        <is>
          <t>Closed without action</t>
        </is>
      </c>
      <c r="H73" t="inlineStr"/>
      <c r="I73" t="inlineStr">
        <is>
          <t>P1</t>
        </is>
      </c>
      <c r="J73" s="30" t="n">
        <v>46111</v>
      </c>
      <c r="L73" s="30" t="n">
        <v>46126</v>
      </c>
      <c r="M73" t="inlineStr">
        <is>
          <t>sprint-Hanna</t>
        </is>
      </c>
      <c r="N73" s="11" t="n">
        <v>0</v>
      </c>
      <c r="O73" s="11" t="n">
        <v>0</v>
      </c>
      <c r="P73" t="inlineStr">
        <is>
          <t>FILTER</t>
        </is>
      </c>
      <c r="Q73" t="inlineStr"/>
      <c r="R73" t="inlineStr"/>
      <c r="S73" t="inlineStr"/>
    </row>
    <row r="74">
      <c r="A74" t="inlineStr">
        <is>
          <t>Automation</t>
        </is>
      </c>
      <c r="B74" s="29" t="inlineStr">
        <is>
          <t>FILTER-13051</t>
        </is>
      </c>
      <c r="C74" s="21" t="inlineStr">
        <is>
          <t>QA- GO extension: proxy call shows success for unauthorized user</t>
        </is>
      </c>
      <c r="D74" t="inlineStr">
        <is>
          <t>FILTER-13048</t>
        </is>
      </c>
      <c r="E74" t="inlineStr">
        <is>
          <t>Defect</t>
        </is>
      </c>
      <c r="F74" t="inlineStr">
        <is>
          <t>Amit Shete</t>
        </is>
      </c>
      <c r="G74" t="inlineStr">
        <is>
          <t>Closed without action</t>
        </is>
      </c>
      <c r="H74" t="inlineStr"/>
      <c r="I74" t="inlineStr">
        <is>
          <t>P1</t>
        </is>
      </c>
      <c r="J74" s="30" t="n">
        <v>46112</v>
      </c>
      <c r="L74" s="30" t="n">
        <v>46140</v>
      </c>
      <c r="M74" t="inlineStr">
        <is>
          <t>sprint-Hanna</t>
        </is>
      </c>
      <c r="N74" s="11" t="n">
        <v>0</v>
      </c>
      <c r="O74" s="11" t="n">
        <v>0</v>
      </c>
      <c r="P74" t="inlineStr">
        <is>
          <t>FILTER</t>
        </is>
      </c>
      <c r="Q74" t="inlineStr"/>
      <c r="R74" t="inlineStr"/>
      <c r="S74" t="inlineStr"/>
    </row>
    <row r="75">
      <c r="A75" t="inlineStr">
        <is>
          <t>Automation</t>
        </is>
      </c>
      <c r="B75" s="29" t="inlineStr">
        <is>
          <t>FILTER-13108</t>
        </is>
      </c>
      <c r="C75" s="21" t="inlineStr">
        <is>
          <t xml:space="preserve">QA- Looking for solution for HTML Editor vulnerabilities </t>
        </is>
      </c>
      <c r="D75" t="inlineStr">
        <is>
          <t>FILTER-13105</t>
        </is>
      </c>
      <c r="E75" t="inlineStr">
        <is>
          <t>Escape Defect</t>
        </is>
      </c>
      <c r="F75" t="inlineStr">
        <is>
          <t>Amit Shete</t>
        </is>
      </c>
      <c r="G75" t="inlineStr">
        <is>
          <t>Closed without action</t>
        </is>
      </c>
      <c r="H75" t="inlineStr"/>
      <c r="I75" t="inlineStr">
        <is>
          <t>P1</t>
        </is>
      </c>
      <c r="J75" s="30" t="n">
        <v>46114</v>
      </c>
      <c r="L75" s="30" t="n">
        <v>46128</v>
      </c>
      <c r="M75" t="inlineStr">
        <is>
          <t>sprint-Hanna</t>
        </is>
      </c>
      <c r="N75" s="11" t="n">
        <v>0</v>
      </c>
      <c r="O75" s="11" t="n">
        <v>0</v>
      </c>
      <c r="P75" t="inlineStr">
        <is>
          <t>FILTER</t>
        </is>
      </c>
      <c r="Q75" t="inlineStr"/>
      <c r="R75" t="inlineStr"/>
      <c r="S75" t="inlineStr"/>
    </row>
    <row r="76">
      <c r="A76" t="inlineStr">
        <is>
          <t>Automation</t>
        </is>
      </c>
      <c r="B76" s="29" t="inlineStr">
        <is>
          <t>FILTER-13301</t>
        </is>
      </c>
      <c r="C76" s="21" t="inlineStr">
        <is>
          <t>QA- NewFeatureBug. GO DNS: Temporary UserToken is generated even when platform service is available</t>
        </is>
      </c>
      <c r="D76" t="inlineStr">
        <is>
          <t>FILTER-13298</t>
        </is>
      </c>
      <c r="E76" t="inlineStr">
        <is>
          <t>Defect</t>
        </is>
      </c>
      <c r="F76" t="inlineStr">
        <is>
          <t>Amit Shete</t>
        </is>
      </c>
      <c r="G76" t="inlineStr">
        <is>
          <t>Closed without action</t>
        </is>
      </c>
      <c r="H76" t="inlineStr"/>
      <c r="I76" t="inlineStr">
        <is>
          <t>P1</t>
        </is>
      </c>
      <c r="J76" s="30" t="n">
        <v>46119</v>
      </c>
      <c r="L76" s="30" t="n">
        <v>46140</v>
      </c>
      <c r="M76" t="inlineStr">
        <is>
          <t>sprint-Hanna</t>
        </is>
      </c>
      <c r="N76" s="11" t="n">
        <v>0</v>
      </c>
      <c r="O76" s="11" t="n">
        <v>0</v>
      </c>
      <c r="P76" t="inlineStr">
        <is>
          <t>FILTER</t>
        </is>
      </c>
      <c r="Q76" t="inlineStr"/>
      <c r="R76" t="inlineStr"/>
      <c r="S76" t="inlineStr"/>
    </row>
    <row r="77">
      <c r="A77" t="inlineStr">
        <is>
          <t>Automation</t>
        </is>
      </c>
      <c r="B77" s="29" t="inlineStr">
        <is>
          <t>FILTER-13313</t>
        </is>
      </c>
      <c r="C77" s="21" t="inlineStr">
        <is>
          <t>QA- NewFeatureBug. GO SPAC: UserToken not present for verbose logs</t>
        </is>
      </c>
      <c r="D77" t="inlineStr">
        <is>
          <t>FILTER-13310</t>
        </is>
      </c>
      <c r="E77" t="inlineStr">
        <is>
          <t>Defect</t>
        </is>
      </c>
      <c r="F77" t="inlineStr">
        <is>
          <t>Amit Shete</t>
        </is>
      </c>
      <c r="G77" t="inlineStr">
        <is>
          <t>Closed without action</t>
        </is>
      </c>
      <c r="H77" t="inlineStr"/>
      <c r="I77" t="inlineStr">
        <is>
          <t>P2</t>
        </is>
      </c>
      <c r="J77" s="30" t="n">
        <v>46119</v>
      </c>
      <c r="L77" s="30" t="n">
        <v>46140</v>
      </c>
      <c r="M77" t="inlineStr">
        <is>
          <t>sprint-Hanna</t>
        </is>
      </c>
      <c r="N77" s="11" t="n">
        <v>0</v>
      </c>
      <c r="O77" s="11" t="n">
        <v>0</v>
      </c>
      <c r="P77" t="inlineStr">
        <is>
          <t>FILTER</t>
        </is>
      </c>
      <c r="Q77" t="inlineStr"/>
      <c r="R77" t="inlineStr"/>
      <c r="S77" t="inlineStr"/>
    </row>
    <row r="78">
      <c r="A78" t="inlineStr">
        <is>
          <t>Automation</t>
        </is>
      </c>
      <c r="B78" s="29" t="inlineStr">
        <is>
          <t>FILTER-13347</t>
        </is>
      </c>
      <c r="C78" s="21" t="inlineStr">
        <is>
          <t>QA- NewFeatureBug. SPAC: After anonymous user log, activities do not have userToken</t>
        </is>
      </c>
      <c r="D78" t="inlineStr">
        <is>
          <t>FILTER-13344</t>
        </is>
      </c>
      <c r="E78" t="inlineStr">
        <is>
          <t>Defect</t>
        </is>
      </c>
      <c r="F78" t="inlineStr">
        <is>
          <t>Amit Shete</t>
        </is>
      </c>
      <c r="G78" t="inlineStr">
        <is>
          <t>Closed without action</t>
        </is>
      </c>
      <c r="H78" t="inlineStr"/>
      <c r="I78" t="inlineStr">
        <is>
          <t>P1</t>
        </is>
      </c>
      <c r="J78" s="30" t="n">
        <v>46120</v>
      </c>
      <c r="L78" s="30" t="n">
        <v>46140</v>
      </c>
      <c r="M78" t="inlineStr">
        <is>
          <t>sprint-Hanna</t>
        </is>
      </c>
      <c r="N78" s="11" t="n">
        <v>0</v>
      </c>
      <c r="O78" s="11" t="n">
        <v>0</v>
      </c>
      <c r="P78" t="inlineStr">
        <is>
          <t>FILTER</t>
        </is>
      </c>
      <c r="Q78" t="inlineStr"/>
      <c r="R78" t="inlineStr"/>
      <c r="S78" t="inlineStr"/>
    </row>
    <row r="79">
      <c r="A79" t="inlineStr">
        <is>
          <t>Automation</t>
        </is>
      </c>
      <c r="B79" s="29" t="inlineStr">
        <is>
          <t>FILTER-13355</t>
        </is>
      </c>
      <c r="C79" s="21" t="inlineStr">
        <is>
          <t>QA- NewFeatureBug. SPAC: userToken not created when Force logins is ON</t>
        </is>
      </c>
      <c r="D79" t="inlineStr">
        <is>
          <t>FILTER-13352</t>
        </is>
      </c>
      <c r="E79" t="inlineStr">
        <is>
          <t>Defect</t>
        </is>
      </c>
      <c r="F79" t="inlineStr">
        <is>
          <t>Amit Shete</t>
        </is>
      </c>
      <c r="G79" t="inlineStr">
        <is>
          <t>Closed without action</t>
        </is>
      </c>
      <c r="H79" t="inlineStr"/>
      <c r="I79" t="inlineStr">
        <is>
          <t>P1</t>
        </is>
      </c>
      <c r="J79" s="30" t="n">
        <v>46120</v>
      </c>
      <c r="L79" s="30" t="n">
        <v>46140</v>
      </c>
      <c r="M79" t="inlineStr">
        <is>
          <t>sprint-Hanna</t>
        </is>
      </c>
      <c r="N79" s="11" t="n">
        <v>0</v>
      </c>
      <c r="O79" s="11" t="n">
        <v>0</v>
      </c>
      <c r="P79" t="inlineStr">
        <is>
          <t>FILTER</t>
        </is>
      </c>
      <c r="Q79" t="inlineStr"/>
      <c r="R79" t="inlineStr"/>
      <c r="S79" t="inlineStr"/>
    </row>
    <row r="80">
      <c r="A80" t="inlineStr">
        <is>
          <t>Automation</t>
        </is>
      </c>
      <c r="B80" s="29" t="inlineStr">
        <is>
          <t>FILTER-13380</t>
        </is>
      </c>
      <c r="C80" s="21" t="inlineStr">
        <is>
          <t>QA- Safety Console &gt;&gt; Policy Editor. Allow/Block Search terms' pop-up does not show value if added text is not as per validations.</t>
        </is>
      </c>
      <c r="D80" t="inlineStr">
        <is>
          <t>FILTER-13377</t>
        </is>
      </c>
      <c r="E80" t="inlineStr">
        <is>
          <t>Defect</t>
        </is>
      </c>
      <c r="F80" t="inlineStr">
        <is>
          <t>Amit Shete</t>
        </is>
      </c>
      <c r="G80" t="inlineStr">
        <is>
          <t>Closed without action</t>
        </is>
      </c>
      <c r="H80" t="inlineStr"/>
      <c r="I80" t="inlineStr">
        <is>
          <t>P3</t>
        </is>
      </c>
      <c r="J80" s="30" t="n">
        <v>46121</v>
      </c>
      <c r="L80" s="30" t="n">
        <v>46126</v>
      </c>
      <c r="M80" t="inlineStr">
        <is>
          <t>sprint-Hanna</t>
        </is>
      </c>
      <c r="N80" s="11" t="n">
        <v>0</v>
      </c>
      <c r="O80" s="11" t="n">
        <v>0</v>
      </c>
      <c r="P80" t="inlineStr">
        <is>
          <t>FILTER</t>
        </is>
      </c>
      <c r="Q80" t="inlineStr"/>
      <c r="R80" t="inlineStr"/>
      <c r="S80" t="inlineStr"/>
    </row>
    <row r="81">
      <c r="A81" t="inlineStr">
        <is>
          <t>Automation</t>
        </is>
      </c>
      <c r="B81" s="29" t="inlineStr">
        <is>
          <t>FILTER-13402</t>
        </is>
      </c>
      <c r="C81" s="21" t="inlineStr">
        <is>
          <t>QA- Safety Console &gt;&gt; Filter. Activities. Deleted Admin group user is able add activities to Allow/Block list</t>
        </is>
      </c>
      <c r="D81" t="inlineStr">
        <is>
          <t>FILTER-13399</t>
        </is>
      </c>
      <c r="E81" t="inlineStr">
        <is>
          <t>Defect</t>
        </is>
      </c>
      <c r="F81" t="inlineStr">
        <is>
          <t>Amit Shete</t>
        </is>
      </c>
      <c r="G81" t="inlineStr">
        <is>
          <t>Closed without action</t>
        </is>
      </c>
      <c r="H81" t="inlineStr"/>
      <c r="I81" t="inlineStr">
        <is>
          <t>P2</t>
        </is>
      </c>
      <c r="J81" s="30" t="n">
        <v>46121</v>
      </c>
      <c r="L81" s="30" t="n">
        <v>46140</v>
      </c>
      <c r="M81" t="inlineStr">
        <is>
          <t>sprint-Hanna</t>
        </is>
      </c>
      <c r="N81" s="11" t="n">
        <v>0</v>
      </c>
      <c r="O81" s="11" t="n">
        <v>0</v>
      </c>
      <c r="P81" t="inlineStr">
        <is>
          <t>FILTER</t>
        </is>
      </c>
      <c r="Q81" t="inlineStr"/>
      <c r="R81" t="inlineStr"/>
      <c r="S81" t="inlineStr"/>
    </row>
    <row r="82">
      <c r="A82" t="inlineStr">
        <is>
          <t>Automation</t>
        </is>
      </c>
      <c r="B82" s="29" t="inlineStr">
        <is>
          <t>FILTER-13445</t>
        </is>
      </c>
      <c r="C82" s="21" t="inlineStr">
        <is>
          <t>QA- SPROX: suicide.org throws Bad Request error</t>
        </is>
      </c>
      <c r="D82" t="inlineStr">
        <is>
          <t>FILTER-13442</t>
        </is>
      </c>
      <c r="E82" t="inlineStr">
        <is>
          <t>Defect</t>
        </is>
      </c>
      <c r="F82" t="inlineStr">
        <is>
          <t>Amit Shete</t>
        </is>
      </c>
      <c r="G82" t="inlineStr">
        <is>
          <t>Closed without action</t>
        </is>
      </c>
      <c r="H82" t="inlineStr"/>
      <c r="I82" t="inlineStr">
        <is>
          <t>P1</t>
        </is>
      </c>
      <c r="J82" s="30" t="n">
        <v>46122</v>
      </c>
      <c r="L82" s="30" t="n">
        <v>46140</v>
      </c>
      <c r="M82" t="inlineStr">
        <is>
          <t>sprint-Hanna</t>
        </is>
      </c>
      <c r="N82" s="11" t="n">
        <v>0</v>
      </c>
      <c r="O82" s="11" t="n">
        <v>0</v>
      </c>
      <c r="P82" t="inlineStr">
        <is>
          <t>FILTER</t>
        </is>
      </c>
      <c r="Q82" t="inlineStr"/>
      <c r="R82" t="inlineStr"/>
      <c r="S82" t="inlineStr"/>
    </row>
    <row r="83">
      <c r="A83" t="inlineStr">
        <is>
          <t>Automation</t>
        </is>
      </c>
      <c r="B83" s="29" t="inlineStr">
        <is>
          <t>FILTER-13457</t>
        </is>
      </c>
      <c r="C83" s="21" t="inlineStr">
        <is>
          <t>QA- Support Tool. After searching for FID from FID Detail page's FID name dropdown, the FID name is not cleared</t>
        </is>
      </c>
      <c r="D83" t="inlineStr">
        <is>
          <t>FILTER-13454</t>
        </is>
      </c>
      <c r="E83" t="inlineStr">
        <is>
          <t>Escape Defect</t>
        </is>
      </c>
      <c r="F83" t="inlineStr">
        <is>
          <t>Amit Shete</t>
        </is>
      </c>
      <c r="G83" t="inlineStr">
        <is>
          <t>Closed without action</t>
        </is>
      </c>
      <c r="H83" t="inlineStr"/>
      <c r="I83" t="inlineStr">
        <is>
          <t>P1</t>
        </is>
      </c>
      <c r="J83" s="30" t="n">
        <v>46123</v>
      </c>
      <c r="L83" s="30" t="n">
        <v>46140</v>
      </c>
      <c r="M83" t="inlineStr">
        <is>
          <t>sprint-Hanna</t>
        </is>
      </c>
      <c r="N83" s="11" t="n">
        <v>0</v>
      </c>
      <c r="O83" s="11" t="n">
        <v>0</v>
      </c>
      <c r="P83" t="inlineStr">
        <is>
          <t>FILTER</t>
        </is>
      </c>
      <c r="Q83" t="inlineStr"/>
      <c r="R83" t="inlineStr"/>
      <c r="S83" t="inlineStr"/>
    </row>
    <row r="84">
      <c r="A84" t="inlineStr">
        <is>
          <t>Automation</t>
        </is>
      </c>
      <c r="B84" s="29" t="inlineStr">
        <is>
          <t>FILTER-13461</t>
        </is>
      </c>
      <c r="C84" s="21" t="inlineStr">
        <is>
          <t>QA- Support Tool. FID search from FID Detail page's FID name dropdown is not able to search when spaces are present at the start or end of the query.</t>
        </is>
      </c>
      <c r="D84" t="inlineStr">
        <is>
          <t>FILTER-13458</t>
        </is>
      </c>
      <c r="E84" t="inlineStr">
        <is>
          <t>Escape Defect</t>
        </is>
      </c>
      <c r="F84" t="inlineStr">
        <is>
          <t>Amit Shete</t>
        </is>
      </c>
      <c r="G84" t="inlineStr">
        <is>
          <t>Closed without action</t>
        </is>
      </c>
      <c r="H84" t="inlineStr"/>
      <c r="I84" t="inlineStr">
        <is>
          <t>P3</t>
        </is>
      </c>
      <c r="J84" s="30" t="n">
        <v>46123</v>
      </c>
      <c r="L84" s="30" t="n">
        <v>46140</v>
      </c>
      <c r="M84" t="inlineStr">
        <is>
          <t>sprint-Hanna</t>
        </is>
      </c>
      <c r="N84" s="11" t="n">
        <v>0</v>
      </c>
      <c r="O84" s="11" t="n">
        <v>0</v>
      </c>
      <c r="P84" t="inlineStr">
        <is>
          <t>FILTER</t>
        </is>
      </c>
      <c r="Q84" t="inlineStr"/>
      <c r="R84" t="inlineStr"/>
      <c r="S84" t="inlineStr"/>
    </row>
    <row r="85">
      <c r="A85" t="inlineStr">
        <is>
          <t>Automation</t>
        </is>
      </c>
      <c r="B85" s="29" t="inlineStr">
        <is>
          <t>FILTER-13465</t>
        </is>
      </c>
      <c r="C85" s="21" t="inlineStr">
        <is>
          <t>QA- Support Tool. FID search from FID Detail page's FID name dropdown can search and display closed accounts as well</t>
        </is>
      </c>
      <c r="D85" t="inlineStr">
        <is>
          <t>FILTER-13462</t>
        </is>
      </c>
      <c r="E85" t="inlineStr">
        <is>
          <t>Escape Defect</t>
        </is>
      </c>
      <c r="F85" t="inlineStr">
        <is>
          <t>Amit Shete</t>
        </is>
      </c>
      <c r="G85" t="inlineStr">
        <is>
          <t>Closed without action</t>
        </is>
      </c>
      <c r="H85" t="inlineStr"/>
      <c r="I85" t="inlineStr">
        <is>
          <t>P2</t>
        </is>
      </c>
      <c r="J85" s="30" t="n">
        <v>46123</v>
      </c>
      <c r="L85" s="30" t="n">
        <v>46140</v>
      </c>
      <c r="M85" t="inlineStr">
        <is>
          <t>sprint-Hanna</t>
        </is>
      </c>
      <c r="N85" s="11" t="n">
        <v>0</v>
      </c>
      <c r="O85" s="11" t="n">
        <v>0</v>
      </c>
      <c r="P85" t="inlineStr">
        <is>
          <t>FILTER</t>
        </is>
      </c>
      <c r="Q85" t="inlineStr"/>
      <c r="R85" t="inlineStr"/>
      <c r="S85" t="inlineStr"/>
    </row>
    <row r="86">
      <c r="A86" t="inlineStr">
        <is>
          <t>Automation</t>
        </is>
      </c>
      <c r="B86" s="29" t="inlineStr">
        <is>
          <t>FILTER-13485</t>
        </is>
      </c>
      <c r="C86" s="21" t="inlineStr">
        <is>
          <t>QA- SPROX: baidu.com suspicious searches are not logged</t>
        </is>
      </c>
      <c r="D86" t="inlineStr">
        <is>
          <t>FILTER-13482</t>
        </is>
      </c>
      <c r="E86" t="inlineStr">
        <is>
          <t>Defect</t>
        </is>
      </c>
      <c r="F86" t="inlineStr">
        <is>
          <t>Amit Shete</t>
        </is>
      </c>
      <c r="G86" t="inlineStr">
        <is>
          <t>Closed without action</t>
        </is>
      </c>
      <c r="H86" t="inlineStr"/>
      <c r="I86" t="inlineStr">
        <is>
          <t>P1</t>
        </is>
      </c>
      <c r="J86" s="30" t="n">
        <v>46123</v>
      </c>
      <c r="L86" s="30" t="n">
        <v>46140</v>
      </c>
      <c r="M86" t="inlineStr">
        <is>
          <t>sprint-Hanna</t>
        </is>
      </c>
      <c r="N86" s="11" t="n">
        <v>0</v>
      </c>
      <c r="O86" s="11" t="n">
        <v>0</v>
      </c>
      <c r="P86" t="inlineStr">
        <is>
          <t>FILTER</t>
        </is>
      </c>
      <c r="Q86" t="inlineStr"/>
      <c r="R86" t="inlineStr"/>
      <c r="S86" t="inlineStr"/>
    </row>
    <row r="87">
      <c r="A87" t="inlineStr">
        <is>
          <t>Automation</t>
        </is>
      </c>
      <c r="B87" s="29" t="inlineStr">
        <is>
          <t>FILTER-13489</t>
        </is>
      </c>
      <c r="C87" s="21" t="inlineStr">
        <is>
          <t>QA- SPROX: wikipedia searches are not logged when search is made from bookmark</t>
        </is>
      </c>
      <c r="D87" t="inlineStr">
        <is>
          <t>FILTER-13486</t>
        </is>
      </c>
      <c r="E87" t="inlineStr">
        <is>
          <t>Defect</t>
        </is>
      </c>
      <c r="F87" t="inlineStr">
        <is>
          <t>Amit Shete</t>
        </is>
      </c>
      <c r="G87" t="inlineStr">
        <is>
          <t>Closed without action</t>
        </is>
      </c>
      <c r="H87" t="inlineStr"/>
      <c r="I87" t="inlineStr">
        <is>
          <t>P2</t>
        </is>
      </c>
      <c r="J87" s="30" t="n">
        <v>46123</v>
      </c>
      <c r="L87" s="30" t="n">
        <v>46140</v>
      </c>
      <c r="M87" t="inlineStr">
        <is>
          <t>sprint-Hanna</t>
        </is>
      </c>
      <c r="N87" s="11" t="n">
        <v>0</v>
      </c>
      <c r="O87" s="11" t="n">
        <v>0</v>
      </c>
      <c r="P87" t="inlineStr">
        <is>
          <t>FILTER</t>
        </is>
      </c>
      <c r="Q87" t="inlineStr"/>
      <c r="R87" t="inlineStr"/>
      <c r="S87" t="inlineStr"/>
    </row>
    <row r="88">
      <c r="A88" t="inlineStr">
        <is>
          <t>Automation</t>
        </is>
      </c>
      <c r="B88" s="29" t="inlineStr">
        <is>
          <t>FILTER-13493</t>
        </is>
      </c>
      <c r="C88" s="21" t="inlineStr">
        <is>
          <t>QA- SPROX: ask.com suspicious &amp; allowed searches are not logged</t>
        </is>
      </c>
      <c r="D88" t="inlineStr">
        <is>
          <t>FILTER-13490</t>
        </is>
      </c>
      <c r="E88" t="inlineStr">
        <is>
          <t>Defect</t>
        </is>
      </c>
      <c r="F88" t="inlineStr">
        <is>
          <t>Amit Shete</t>
        </is>
      </c>
      <c r="G88" t="inlineStr">
        <is>
          <t>Closed without action</t>
        </is>
      </c>
      <c r="H88" t="inlineStr"/>
      <c r="I88" t="inlineStr">
        <is>
          <t>P1</t>
        </is>
      </c>
      <c r="J88" s="30" t="n">
        <v>46123</v>
      </c>
      <c r="L88" s="30" t="n">
        <v>46140</v>
      </c>
      <c r="M88" t="inlineStr">
        <is>
          <t>sprint-Hanna</t>
        </is>
      </c>
      <c r="N88" s="11" t="n">
        <v>0</v>
      </c>
      <c r="O88" s="11" t="n">
        <v>0</v>
      </c>
      <c r="P88" t="inlineStr">
        <is>
          <t>FILTER</t>
        </is>
      </c>
      <c r="Q88" t="inlineStr"/>
      <c r="R88" t="inlineStr"/>
      <c r="S88" t="inlineStr"/>
    </row>
    <row r="89">
      <c r="A89" t="inlineStr">
        <is>
          <t>Automation</t>
        </is>
      </c>
      <c r="B89" s="29" t="inlineStr">
        <is>
          <t>FILTER-13506</t>
        </is>
      </c>
      <c r="C89" s="21" t="inlineStr">
        <is>
          <t>QA- CLONE - SPROX: Wrong category logged</t>
        </is>
      </c>
      <c r="D89" t="inlineStr">
        <is>
          <t>FILTER-13503</t>
        </is>
      </c>
      <c r="E89" t="inlineStr">
        <is>
          <t>Defect</t>
        </is>
      </c>
      <c r="F89" t="inlineStr">
        <is>
          <t>Amit Shete</t>
        </is>
      </c>
      <c r="G89" t="inlineStr">
        <is>
          <t>Closed without action</t>
        </is>
      </c>
      <c r="H89" t="inlineStr"/>
      <c r="I89" t="inlineStr">
        <is>
          <t>P1</t>
        </is>
      </c>
      <c r="J89" s="30" t="n">
        <v>46125</v>
      </c>
      <c r="L89" s="30" t="n">
        <v>46140</v>
      </c>
      <c r="M89" t="inlineStr">
        <is>
          <t>sprint-Hanna</t>
        </is>
      </c>
      <c r="N89" s="11" t="n">
        <v>0</v>
      </c>
      <c r="O89" s="11" t="n">
        <v>0</v>
      </c>
      <c r="P89" t="inlineStr">
        <is>
          <t>FILTER</t>
        </is>
      </c>
      <c r="Q89" t="inlineStr"/>
      <c r="R89" t="inlineStr"/>
      <c r="S89" t="inlineStr"/>
    </row>
    <row r="90">
      <c r="A90" t="inlineStr">
        <is>
          <t>Automation</t>
        </is>
      </c>
      <c r="B90" s="29" t="inlineStr">
        <is>
          <t>FILTER-13510</t>
        </is>
      </c>
      <c r="C90" s="21" t="inlineStr">
        <is>
          <t>QA- SPROX: Incorrect policy logging</t>
        </is>
      </c>
      <c r="D90" t="inlineStr">
        <is>
          <t>FILTER-13507</t>
        </is>
      </c>
      <c r="E90" t="inlineStr">
        <is>
          <t>Defect</t>
        </is>
      </c>
      <c r="F90" t="inlineStr">
        <is>
          <t>Amit Shete</t>
        </is>
      </c>
      <c r="G90" t="inlineStr">
        <is>
          <t>Closed without action</t>
        </is>
      </c>
      <c r="H90" t="inlineStr"/>
      <c r="I90" t="inlineStr">
        <is>
          <t>P1</t>
        </is>
      </c>
      <c r="J90" s="30" t="n">
        <v>46125</v>
      </c>
      <c r="L90" s="30" t="n">
        <v>46126</v>
      </c>
      <c r="M90" t="inlineStr">
        <is>
          <t>sprint-Hanna</t>
        </is>
      </c>
      <c r="N90" s="11" t="n">
        <v>0</v>
      </c>
      <c r="O90" s="11" t="n">
        <v>0</v>
      </c>
      <c r="P90" t="inlineStr">
        <is>
          <t>FILTER</t>
        </is>
      </c>
      <c r="Q90" t="inlineStr"/>
      <c r="R90" t="inlineStr"/>
      <c r="S90" t="inlineStr"/>
    </row>
    <row r="91">
      <c r="A91" t="inlineStr">
        <is>
          <t>Automation</t>
        </is>
      </c>
      <c r="B91" s="29" t="inlineStr">
        <is>
          <t>FILTER-13521</t>
        </is>
      </c>
      <c r="C91" s="21" t="inlineStr">
        <is>
          <t>QA- SPROX: Search engines do not get blocked when category is Other Search Engine</t>
        </is>
      </c>
      <c r="D91" t="inlineStr">
        <is>
          <t>FILTER-13518</t>
        </is>
      </c>
      <c r="E91" t="inlineStr">
        <is>
          <t>Defect</t>
        </is>
      </c>
      <c r="F91" t="inlineStr">
        <is>
          <t>Amit Shete</t>
        </is>
      </c>
      <c r="G91" t="inlineStr">
        <is>
          <t>Closed without action</t>
        </is>
      </c>
      <c r="H91" t="inlineStr"/>
      <c r="I91" t="inlineStr">
        <is>
          <t>P1</t>
        </is>
      </c>
      <c r="J91" s="30" t="n">
        <v>46126</v>
      </c>
      <c r="L91" s="30" t="n">
        <v>46140</v>
      </c>
      <c r="M91" t="inlineStr">
        <is>
          <t>sprint-Hanna</t>
        </is>
      </c>
      <c r="N91" s="11" t="n">
        <v>0</v>
      </c>
      <c r="O91" s="11" t="n">
        <v>0</v>
      </c>
      <c r="P91" t="inlineStr">
        <is>
          <t>FILTER</t>
        </is>
      </c>
      <c r="Q91" t="inlineStr"/>
      <c r="R91" t="inlineStr"/>
      <c r="S91" t="inlineStr"/>
    </row>
    <row r="92">
      <c r="A92" t="inlineStr">
        <is>
          <t>Automation</t>
        </is>
      </c>
      <c r="B92" s="29" t="inlineStr">
        <is>
          <t>FILTER-13529</t>
        </is>
      </c>
      <c r="C92" s="21" t="inlineStr">
        <is>
          <t>QA- SPROX: YT keyword block is not getting logged</t>
        </is>
      </c>
      <c r="D92" t="inlineStr">
        <is>
          <t>FILTER-13526</t>
        </is>
      </c>
      <c r="E92" t="inlineStr">
        <is>
          <t>Defect</t>
        </is>
      </c>
      <c r="F92" t="inlineStr">
        <is>
          <t>Amit Shete</t>
        </is>
      </c>
      <c r="G92" t="inlineStr">
        <is>
          <t>Closed without action</t>
        </is>
      </c>
      <c r="H92" t="inlineStr"/>
      <c r="I92" t="inlineStr">
        <is>
          <t>P1</t>
        </is>
      </c>
      <c r="J92" s="30" t="n">
        <v>46126</v>
      </c>
      <c r="L92" s="30" t="n">
        <v>46140</v>
      </c>
      <c r="M92" t="inlineStr">
        <is>
          <t>sprint-Hanna</t>
        </is>
      </c>
      <c r="N92" s="11" t="n">
        <v>0</v>
      </c>
      <c r="O92" s="11" t="n">
        <v>0</v>
      </c>
      <c r="P92" t="inlineStr">
        <is>
          <t>FILTER</t>
        </is>
      </c>
      <c r="Q92" t="inlineStr"/>
      <c r="R92" t="inlineStr"/>
      <c r="S92" t="inlineStr"/>
    </row>
    <row r="93">
      <c r="A93" t="inlineStr">
        <is>
          <t>Automation</t>
        </is>
      </c>
      <c r="B93" s="29" t="inlineStr">
        <is>
          <t>FILTER-13545</t>
        </is>
      </c>
      <c r="C93" s="21" t="inlineStr">
        <is>
          <t>QA- Safety Console &gt;&gt; Filter. Admin Group. Admin user if removed from DA, looses Admin session as well</t>
        </is>
      </c>
      <c r="D93" t="inlineStr">
        <is>
          <t>FILTER-13542</t>
        </is>
      </c>
      <c r="E93" t="inlineStr">
        <is>
          <t>Defect</t>
        </is>
      </c>
      <c r="F93" t="inlineStr">
        <is>
          <t>Amit Shete</t>
        </is>
      </c>
      <c r="G93" t="inlineStr">
        <is>
          <t>Closed without action</t>
        </is>
      </c>
      <c r="H93" t="inlineStr"/>
      <c r="I93" t="inlineStr">
        <is>
          <t>P0</t>
        </is>
      </c>
      <c r="J93" s="30" t="n">
        <v>46126</v>
      </c>
      <c r="L93" s="30" t="n">
        <v>46139</v>
      </c>
      <c r="M93" t="inlineStr">
        <is>
          <t>sprint-Hanna</t>
        </is>
      </c>
      <c r="N93" s="11" t="n">
        <v>0</v>
      </c>
      <c r="O93" s="11" t="n">
        <v>0</v>
      </c>
      <c r="P93" t="inlineStr">
        <is>
          <t>FILTER</t>
        </is>
      </c>
      <c r="Q93" t="inlineStr"/>
      <c r="R93" t="inlineStr"/>
      <c r="S93" t="inlineStr"/>
    </row>
    <row r="94">
      <c r="A94" t="inlineStr">
        <is>
          <t>Automation</t>
        </is>
      </c>
      <c r="B94" s="29" t="inlineStr">
        <is>
          <t>FILTER-13561</t>
        </is>
      </c>
      <c r="C94" s="21" t="inlineStr">
        <is>
          <t>QA- SPROX: GO DNS. Suspicious and allowed searches on any search engine is not getting logged</t>
        </is>
      </c>
      <c r="D94" t="inlineStr">
        <is>
          <t>FILTER-13556</t>
        </is>
      </c>
      <c r="E94" t="inlineStr">
        <is>
          <t>Defect</t>
        </is>
      </c>
      <c r="F94" t="inlineStr">
        <is>
          <t>Amit Shete</t>
        </is>
      </c>
      <c r="G94" t="inlineStr">
        <is>
          <t>Closed without action</t>
        </is>
      </c>
      <c r="H94" t="inlineStr"/>
      <c r="I94" t="inlineStr">
        <is>
          <t>P1</t>
        </is>
      </c>
      <c r="J94" s="30" t="n">
        <v>46127</v>
      </c>
      <c r="L94" s="30" t="n">
        <v>46135</v>
      </c>
      <c r="M94" t="inlineStr">
        <is>
          <t>sprint-Hanna</t>
        </is>
      </c>
      <c r="N94" s="11" t="n">
        <v>0</v>
      </c>
      <c r="O94" s="11" t="n">
        <v>0</v>
      </c>
      <c r="P94" t="inlineStr">
        <is>
          <t>FILTER</t>
        </is>
      </c>
      <c r="Q94" t="inlineStr"/>
      <c r="R94" t="inlineStr"/>
      <c r="S94" t="inlineStr"/>
    </row>
    <row r="95">
      <c r="A95" t="inlineStr">
        <is>
          <t>Automation</t>
        </is>
      </c>
      <c r="B95" s="29" t="inlineStr">
        <is>
          <t>FILTER-13567</t>
        </is>
      </c>
      <c r="C95" s="21" t="inlineStr">
        <is>
          <t>QA- SPROX: GO DNS. YouTube video logging is not happening</t>
        </is>
      </c>
      <c r="D95" t="inlineStr">
        <is>
          <t>FILTER-13562</t>
        </is>
      </c>
      <c r="E95" t="inlineStr">
        <is>
          <t>Defect</t>
        </is>
      </c>
      <c r="F95" t="inlineStr">
        <is>
          <t>Amit Shete</t>
        </is>
      </c>
      <c r="G95" t="inlineStr">
        <is>
          <t>Closed without action</t>
        </is>
      </c>
      <c r="H95" t="inlineStr"/>
      <c r="I95" t="inlineStr">
        <is>
          <t>P1</t>
        </is>
      </c>
      <c r="J95" s="30" t="n">
        <v>46127</v>
      </c>
      <c r="L95" s="30" t="n">
        <v>46140</v>
      </c>
      <c r="M95" t="inlineStr">
        <is>
          <t>sprint-Hanna</t>
        </is>
      </c>
      <c r="N95" s="11" t="n">
        <v>0</v>
      </c>
      <c r="O95" s="11" t="n">
        <v>0</v>
      </c>
      <c r="P95" t="inlineStr">
        <is>
          <t>FILTER</t>
        </is>
      </c>
      <c r="Q95" t="inlineStr"/>
      <c r="R95" t="inlineStr"/>
      <c r="S95" t="inlineStr"/>
    </row>
    <row r="96">
      <c r="A96" t="inlineStr">
        <is>
          <t>Automation</t>
        </is>
      </c>
      <c r="B96" s="29" t="inlineStr">
        <is>
          <t>FILTER-13586</t>
        </is>
      </c>
      <c r="C96" s="21" t="inlineStr">
        <is>
          <t>QA- Safety Console &gt;&gt; Filter. Translation and Accessibility issues</t>
        </is>
      </c>
      <c r="D96" t="inlineStr">
        <is>
          <t>FILTER-13581</t>
        </is>
      </c>
      <c r="E96" t="inlineStr">
        <is>
          <t>Escape Defect</t>
        </is>
      </c>
      <c r="F96" t="inlineStr">
        <is>
          <t>Amit Shete</t>
        </is>
      </c>
      <c r="G96" t="inlineStr">
        <is>
          <t>Closed without action</t>
        </is>
      </c>
      <c r="H96" t="inlineStr"/>
      <c r="I96" t="inlineStr">
        <is>
          <t>P1</t>
        </is>
      </c>
      <c r="J96" s="30" t="n">
        <v>46128</v>
      </c>
      <c r="L96" s="30" t="n">
        <v>46140</v>
      </c>
      <c r="M96" t="inlineStr">
        <is>
          <t>sprint-Hanna</t>
        </is>
      </c>
      <c r="N96" s="11" t="n">
        <v>0</v>
      </c>
      <c r="O96" s="11" t="n">
        <v>0</v>
      </c>
      <c r="P96" t="inlineStr">
        <is>
          <t>FILTER</t>
        </is>
      </c>
      <c r="Q96" t="inlineStr"/>
      <c r="R96" t="inlineStr"/>
      <c r="S96" t="inlineStr"/>
    </row>
    <row r="97">
      <c r="A97" t="inlineStr">
        <is>
          <t>Automation</t>
        </is>
      </c>
      <c r="B97" s="29" t="inlineStr">
        <is>
          <t>FILTER-13590</t>
        </is>
      </c>
      <c r="C97" s="21" t="inlineStr">
        <is>
          <t>QA- SPROX: GO DNS.Force Logins OFF. New categories are not getting blocked</t>
        </is>
      </c>
      <c r="D97" t="inlineStr">
        <is>
          <t>FILTER-13587</t>
        </is>
      </c>
      <c r="E97" t="inlineStr">
        <is>
          <t>Defect</t>
        </is>
      </c>
      <c r="F97" t="inlineStr">
        <is>
          <t>Amit Shete</t>
        </is>
      </c>
      <c r="G97" t="inlineStr">
        <is>
          <t>Closed without action</t>
        </is>
      </c>
      <c r="H97" t="inlineStr"/>
      <c r="I97" t="inlineStr">
        <is>
          <t>P2</t>
        </is>
      </c>
      <c r="J97" s="30" t="n">
        <v>46128</v>
      </c>
      <c r="L97" s="30" t="n">
        <v>46140</v>
      </c>
      <c r="M97" t="inlineStr">
        <is>
          <t>sprint-Hanna</t>
        </is>
      </c>
      <c r="N97" s="11" t="n">
        <v>0</v>
      </c>
      <c r="O97" s="11" t="n">
        <v>0</v>
      </c>
      <c r="P97" t="inlineStr">
        <is>
          <t>FILTER</t>
        </is>
      </c>
      <c r="Q97" t="inlineStr"/>
      <c r="R97" t="inlineStr"/>
      <c r="S97" t="inlineStr"/>
    </row>
    <row r="98">
      <c r="A98" t="inlineStr">
        <is>
          <t>Automation</t>
        </is>
      </c>
      <c r="B98" s="29" t="inlineStr">
        <is>
          <t>FILTER-13604</t>
        </is>
      </c>
      <c r="C98" s="21" t="inlineStr">
        <is>
          <t>QA- SPROX: GO DNS. Search terms not getting blocked on google.com</t>
        </is>
      </c>
      <c r="D98" t="inlineStr">
        <is>
          <t>FILTER-13601</t>
        </is>
      </c>
      <c r="E98" t="inlineStr">
        <is>
          <t>Defect</t>
        </is>
      </c>
      <c r="F98" t="inlineStr">
        <is>
          <t>Amit Shete</t>
        </is>
      </c>
      <c r="G98" t="inlineStr">
        <is>
          <t>Closed without action</t>
        </is>
      </c>
      <c r="H98" t="inlineStr"/>
      <c r="I98" t="inlineStr">
        <is>
          <t>P1</t>
        </is>
      </c>
      <c r="J98" s="30" t="n">
        <v>46128</v>
      </c>
      <c r="L98" s="30" t="n">
        <v>46135</v>
      </c>
      <c r="M98" t="inlineStr">
        <is>
          <t>sprint-Hanna</t>
        </is>
      </c>
      <c r="N98" s="11" t="n">
        <v>0</v>
      </c>
      <c r="O98" s="11" t="n">
        <v>0</v>
      </c>
      <c r="P98" t="inlineStr">
        <is>
          <t>FILTER</t>
        </is>
      </c>
      <c r="Q98" t="inlineStr"/>
      <c r="R98" t="inlineStr"/>
      <c r="S98" t="inlineStr"/>
    </row>
    <row r="99">
      <c r="A99" t="inlineStr">
        <is>
          <t>Automation</t>
        </is>
      </c>
      <c r="B99" s="29" t="inlineStr">
        <is>
          <t>FILTER-13638</t>
        </is>
      </c>
      <c r="C99" s="21" t="inlineStr">
        <is>
          <t>QA- SPROX &amp; Squid: GO SPAC/DNS. Custom group policy is not applied</t>
        </is>
      </c>
      <c r="D99" t="inlineStr">
        <is>
          <t>FILTER-13635</t>
        </is>
      </c>
      <c r="E99" t="inlineStr">
        <is>
          <t>Defect</t>
        </is>
      </c>
      <c r="F99" t="inlineStr">
        <is>
          <t>Amit Shete</t>
        </is>
      </c>
      <c r="G99" t="inlineStr">
        <is>
          <t>Closed without action</t>
        </is>
      </c>
      <c r="H99" t="inlineStr"/>
      <c r="I99" t="inlineStr">
        <is>
          <t>P1</t>
        </is>
      </c>
      <c r="J99" s="30" t="n">
        <v>46129</v>
      </c>
      <c r="L99" s="30" t="n">
        <v>46132</v>
      </c>
      <c r="M99" t="inlineStr">
        <is>
          <t>sprint-Hanna</t>
        </is>
      </c>
      <c r="N99" s="11" t="n">
        <v>0</v>
      </c>
      <c r="O99" s="11" t="n">
        <v>0</v>
      </c>
      <c r="P99" t="inlineStr">
        <is>
          <t>FILTER</t>
        </is>
      </c>
      <c r="Q99" t="inlineStr"/>
      <c r="R99" t="inlineStr"/>
      <c r="S99" t="inlineStr"/>
    </row>
    <row r="100">
      <c r="A100" t="inlineStr">
        <is>
          <t>Automation</t>
        </is>
      </c>
      <c r="B100" s="29" t="inlineStr">
        <is>
          <t>FILTER-13733</t>
        </is>
      </c>
      <c r="C100" s="21" t="inlineStr">
        <is>
          <t>QA- SPROX: Filter leaks within the 10 mins ban</t>
        </is>
      </c>
      <c r="D100" t="inlineStr">
        <is>
          <t>FILTER-13730</t>
        </is>
      </c>
      <c r="E100" t="inlineStr">
        <is>
          <t>Defect</t>
        </is>
      </c>
      <c r="F100" t="inlineStr">
        <is>
          <t>Amit Shete</t>
        </is>
      </c>
      <c r="G100" t="inlineStr">
        <is>
          <t>Closed without action</t>
        </is>
      </c>
      <c r="H100" t="inlineStr"/>
      <c r="I100" t="inlineStr">
        <is>
          <t>P2</t>
        </is>
      </c>
      <c r="J100" s="30" t="n">
        <v>46134</v>
      </c>
      <c r="L100" s="30" t="n">
        <v>46136</v>
      </c>
      <c r="M100" t="inlineStr">
        <is>
          <t>sprint-Hanna</t>
        </is>
      </c>
      <c r="N100" s="11" t="n">
        <v>0</v>
      </c>
      <c r="O100" s="11" t="n">
        <v>0</v>
      </c>
      <c r="P100" t="inlineStr">
        <is>
          <t>FILTER</t>
        </is>
      </c>
      <c r="Q100" t="inlineStr"/>
      <c r="R100" t="inlineStr"/>
      <c r="S100" t="inlineStr"/>
    </row>
    <row r="101">
      <c r="A101" t="inlineStr">
        <is>
          <t>Automation</t>
        </is>
      </c>
      <c r="B101" s="29" t="inlineStr">
        <is>
          <t>FILTER-13742</t>
        </is>
      </c>
      <c r="C101" s="21" t="inlineStr">
        <is>
          <t>QA- P1 Escalation-Filter reports file URLs are easily guessable and the S3 bucket used for downloads is publicly accessible.</t>
        </is>
      </c>
      <c r="D101" t="inlineStr">
        <is>
          <t>FILTER-13739</t>
        </is>
      </c>
      <c r="E101" t="inlineStr">
        <is>
          <t>Escape Defect</t>
        </is>
      </c>
      <c r="F101" t="inlineStr">
        <is>
          <t>Amit Shete</t>
        </is>
      </c>
      <c r="G101" t="inlineStr">
        <is>
          <t>Closed without action</t>
        </is>
      </c>
      <c r="H101" t="inlineStr"/>
      <c r="I101" t="inlineStr">
        <is>
          <t>P2</t>
        </is>
      </c>
      <c r="J101" s="30" t="n">
        <v>46134</v>
      </c>
      <c r="L101" s="30" t="n">
        <v>46136</v>
      </c>
      <c r="M101" t="inlineStr">
        <is>
          <t>sprint-Hanna</t>
        </is>
      </c>
      <c r="N101" s="11" t="n">
        <v>0</v>
      </c>
      <c r="O101" s="11" t="n">
        <v>0</v>
      </c>
      <c r="P101" t="inlineStr">
        <is>
          <t>FILTER</t>
        </is>
      </c>
      <c r="Q101" t="inlineStr"/>
      <c r="R101" t="inlineStr"/>
      <c r="S101" t="inlineStr"/>
    </row>
    <row r="102">
      <c r="A102" t="inlineStr">
        <is>
          <t>Automation</t>
        </is>
      </c>
      <c r="B102" s="29" t="inlineStr">
        <is>
          <t>FILTER-13750</t>
        </is>
      </c>
      <c r="C102" s="21" t="inlineStr">
        <is>
          <t>QA- Filter &gt;&gt; Download, Email, and Scheduled reports are not working.</t>
        </is>
      </c>
      <c r="D102" t="inlineStr">
        <is>
          <t>FILTER-13743</t>
        </is>
      </c>
      <c r="E102" t="inlineStr">
        <is>
          <t>Escape Defect</t>
        </is>
      </c>
      <c r="F102" t="inlineStr">
        <is>
          <t>Amit Shete</t>
        </is>
      </c>
      <c r="G102" t="inlineStr">
        <is>
          <t>Closed without action</t>
        </is>
      </c>
      <c r="H102" t="inlineStr"/>
      <c r="I102" t="inlineStr">
        <is>
          <t>P0</t>
        </is>
      </c>
      <c r="J102" s="30" t="n">
        <v>46135</v>
      </c>
      <c r="L102" s="30" t="n">
        <v>46136</v>
      </c>
      <c r="M102" t="inlineStr">
        <is>
          <t>sprint-Hanna</t>
        </is>
      </c>
      <c r="N102" s="11" t="n">
        <v>0</v>
      </c>
      <c r="O102" s="11" t="n">
        <v>0</v>
      </c>
      <c r="P102" t="inlineStr">
        <is>
          <t>FILTER</t>
        </is>
      </c>
      <c r="Q102" t="inlineStr"/>
      <c r="R102" t="inlineStr"/>
      <c r="S102" t="inlineStr"/>
    </row>
    <row r="103">
      <c r="A103" t="inlineStr">
        <is>
          <t>Automation</t>
        </is>
      </c>
      <c r="B103" s="29" t="inlineStr">
        <is>
          <t>FILTER-13762</t>
        </is>
      </c>
      <c r="C103" s="21" t="inlineStr">
        <is>
          <t>QA- Home SPROX: Pause is not getting applied for a kid with SPROX enabled</t>
        </is>
      </c>
      <c r="D103" t="inlineStr">
        <is>
          <t>FILTER-13759</t>
        </is>
      </c>
      <c r="E103" t="inlineStr">
        <is>
          <t>Defect</t>
        </is>
      </c>
      <c r="F103" t="inlineStr">
        <is>
          <t>Amit Shete</t>
        </is>
      </c>
      <c r="G103" t="inlineStr">
        <is>
          <t>Closed without action</t>
        </is>
      </c>
      <c r="H103" t="inlineStr"/>
      <c r="I103" t="inlineStr">
        <is>
          <t>P1</t>
        </is>
      </c>
      <c r="J103" s="30" t="n">
        <v>46136</v>
      </c>
      <c r="L103" s="30" t="n">
        <v>46136</v>
      </c>
      <c r="M103" t="inlineStr">
        <is>
          <t>sprint-Hanna</t>
        </is>
      </c>
      <c r="N103" s="11" t="n">
        <v>0</v>
      </c>
      <c r="O103" s="11" t="n">
        <v>0</v>
      </c>
      <c r="P103" t="inlineStr">
        <is>
          <t>FILTER</t>
        </is>
      </c>
      <c r="Q103" t="inlineStr"/>
      <c r="R103" t="inlineStr"/>
      <c r="S103" t="inlineStr"/>
    </row>
    <row r="104">
      <c r="A104" t="inlineStr">
        <is>
          <t>Automation</t>
        </is>
      </c>
      <c r="B104" s="29" t="inlineStr">
        <is>
          <t>FILTER-12450</t>
        </is>
      </c>
      <c r="C104" s="21" t="inlineStr">
        <is>
          <t xml:space="preserve">QA- Site not loading correctly with extension </t>
        </is>
      </c>
      <c r="D104" t="inlineStr">
        <is>
          <t>FILTER-12447</t>
        </is>
      </c>
      <c r="E104" t="inlineStr">
        <is>
          <t>Escape Defect</t>
        </is>
      </c>
      <c r="F104" t="inlineStr">
        <is>
          <t>Amol Mithari</t>
        </is>
      </c>
      <c r="G104" t="inlineStr">
        <is>
          <t>Done</t>
        </is>
      </c>
      <c r="H104" t="inlineStr"/>
      <c r="I104" t="inlineStr">
        <is>
          <t>P3</t>
        </is>
      </c>
      <c r="J104" s="30" t="n">
        <v>46093</v>
      </c>
      <c r="L104" s="30" t="n">
        <v>46138</v>
      </c>
      <c r="M104" t="inlineStr">
        <is>
          <t>sprint-Hanna</t>
        </is>
      </c>
      <c r="N104" s="11" t="n">
        <v>2</v>
      </c>
      <c r="O104" s="11" t="n">
        <v>2</v>
      </c>
      <c r="P104" t="inlineStr">
        <is>
          <t>FILTER</t>
        </is>
      </c>
      <c r="Q104" t="inlineStr"/>
      <c r="R104" t="inlineStr"/>
      <c r="S104" t="inlineStr"/>
    </row>
    <row r="105">
      <c r="A105" t="inlineStr">
        <is>
          <t>Automation</t>
        </is>
      </c>
      <c r="B105" s="29" t="inlineStr">
        <is>
          <t>FILTER-12458</t>
        </is>
      </c>
      <c r="C105" s="21" t="inlineStr">
        <is>
          <t>QA- Filter bypass by taping on a link from Google Search - Crxtn</t>
        </is>
      </c>
      <c r="D105" t="inlineStr">
        <is>
          <t>FILTER-12455</t>
        </is>
      </c>
      <c r="E105" t="inlineStr">
        <is>
          <t>Escape Defect</t>
        </is>
      </c>
      <c r="F105" t="inlineStr">
        <is>
          <t>Amol Mithari</t>
        </is>
      </c>
      <c r="G105" t="inlineStr">
        <is>
          <t>Closed without action</t>
        </is>
      </c>
      <c r="H105" t="inlineStr"/>
      <c r="I105" t="inlineStr">
        <is>
          <t>P1</t>
        </is>
      </c>
      <c r="J105" s="30" t="n">
        <v>46093</v>
      </c>
      <c r="L105" s="30" t="n">
        <v>46126</v>
      </c>
      <c r="M105" t="inlineStr">
        <is>
          <t>sprint-Hanna</t>
        </is>
      </c>
      <c r="N105" s="11" t="n">
        <v>0</v>
      </c>
      <c r="O105" s="11" t="n">
        <v>3</v>
      </c>
      <c r="P105" t="inlineStr">
        <is>
          <t>FILTER</t>
        </is>
      </c>
      <c r="Q105" t="inlineStr"/>
      <c r="R105" t="inlineStr"/>
      <c r="S105" t="inlineStr"/>
    </row>
    <row r="106">
      <c r="A106" t="inlineStr">
        <is>
          <t>Automation</t>
        </is>
      </c>
      <c r="B106" s="29" t="inlineStr">
        <is>
          <t>FILTER-12795</t>
        </is>
      </c>
      <c r="C106" s="21" t="inlineStr">
        <is>
          <t xml:space="preserve">QA- Chrome Extension : Log in page is not shown </t>
        </is>
      </c>
      <c r="D106" t="inlineStr">
        <is>
          <t>FILTER-12792</t>
        </is>
      </c>
      <c r="E106" t="inlineStr">
        <is>
          <t>Defect</t>
        </is>
      </c>
      <c r="F106" t="inlineStr">
        <is>
          <t>Amol Mithari</t>
        </is>
      </c>
      <c r="G106" t="inlineStr">
        <is>
          <t>Done</t>
        </is>
      </c>
      <c r="H106" t="inlineStr"/>
      <c r="I106" t="inlineStr">
        <is>
          <t>P1</t>
        </is>
      </c>
      <c r="J106" s="30" t="n">
        <v>46108</v>
      </c>
      <c r="L106" s="30" t="n">
        <v>46126</v>
      </c>
      <c r="M106" t="inlineStr">
        <is>
          <t>sprint-Hanna</t>
        </is>
      </c>
      <c r="N106" s="11" t="n">
        <v>2</v>
      </c>
      <c r="O106" s="11" t="n">
        <v>2</v>
      </c>
      <c r="P106" t="inlineStr">
        <is>
          <t>FILTER</t>
        </is>
      </c>
      <c r="Q106" t="inlineStr"/>
      <c r="R106" t="inlineStr"/>
      <c r="S106" t="inlineStr"/>
    </row>
    <row r="107">
      <c r="A107" t="inlineStr">
        <is>
          <t>Automation</t>
        </is>
      </c>
      <c r="B107" s="29" t="inlineStr">
        <is>
          <t>FILTER-12851</t>
        </is>
      </c>
      <c r="C107" s="21" t="inlineStr">
        <is>
          <t>QA- [Edge] - Bing allow p o r n search</t>
        </is>
      </c>
      <c r="D107" t="inlineStr">
        <is>
          <t>FILTER-12848</t>
        </is>
      </c>
      <c r="E107" t="inlineStr">
        <is>
          <t>Defect</t>
        </is>
      </c>
      <c r="F107" t="inlineStr">
        <is>
          <t>Amol Mithari</t>
        </is>
      </c>
      <c r="G107" t="inlineStr">
        <is>
          <t>Done</t>
        </is>
      </c>
      <c r="H107" t="inlineStr"/>
      <c r="I107" t="inlineStr">
        <is>
          <t>P3</t>
        </is>
      </c>
      <c r="J107" s="30" t="n">
        <v>46108</v>
      </c>
      <c r="L107" s="30" t="n">
        <v>46126</v>
      </c>
      <c r="M107" t="inlineStr">
        <is>
          <t>sprint-Hanna</t>
        </is>
      </c>
      <c r="N107" s="11" t="n">
        <v>2</v>
      </c>
      <c r="O107" s="11" t="n">
        <v>2</v>
      </c>
      <c r="P107" t="inlineStr">
        <is>
          <t>FILTER</t>
        </is>
      </c>
      <c r="Q107" t="inlineStr"/>
      <c r="R107" t="inlineStr"/>
      <c r="S107" t="inlineStr"/>
    </row>
    <row r="108">
      <c r="A108" t="inlineStr">
        <is>
          <t>Automation</t>
        </is>
      </c>
      <c r="B108" s="29" t="inlineStr">
        <is>
          <t>FILTER-13034</t>
        </is>
      </c>
      <c r="C108" s="21" t="inlineStr">
        <is>
          <t>QA- Automate performance testing for tokenization cron job</t>
        </is>
      </c>
      <c r="D108" t="inlineStr">
        <is>
          <t>FILTER-13031</t>
        </is>
      </c>
      <c r="E108" t="inlineStr">
        <is>
          <t>Task</t>
        </is>
      </c>
      <c r="F108" t="inlineStr">
        <is>
          <t>Amol Mithari</t>
        </is>
      </c>
      <c r="G108" t="inlineStr">
        <is>
          <t>Done</t>
        </is>
      </c>
      <c r="H108" t="inlineStr"/>
      <c r="I108" t="inlineStr">
        <is>
          <t>P3</t>
        </is>
      </c>
      <c r="J108" s="30" t="n">
        <v>46112</v>
      </c>
      <c r="L108" s="30" t="n">
        <v>46126</v>
      </c>
      <c r="M108" t="inlineStr">
        <is>
          <t>sprint-Hanna</t>
        </is>
      </c>
      <c r="N108" s="11" t="n">
        <v>10</v>
      </c>
      <c r="O108" s="11" t="n">
        <v>5</v>
      </c>
      <c r="P108" t="inlineStr">
        <is>
          <t>FILTER</t>
        </is>
      </c>
      <c r="Q108" t="inlineStr"/>
      <c r="R108" t="inlineStr"/>
      <c r="S108" t="inlineStr"/>
    </row>
    <row r="109">
      <c r="A109" t="inlineStr">
        <is>
          <t>Dev</t>
        </is>
      </c>
      <c r="B109" s="29" t="inlineStr">
        <is>
          <t>FILTER-11355</t>
        </is>
      </c>
      <c r="C109" s="21" t="inlineStr">
        <is>
          <t>Reopened - Fix Unwanted 'Ask for Leaving Page' Popup on Search Sites When Overlay is Enabled</t>
        </is>
      </c>
      <c r="D109" t="inlineStr">
        <is>
          <t>FILTER-10558</t>
        </is>
      </c>
      <c r="E109" t="inlineStr">
        <is>
          <t>Escape Defect</t>
        </is>
      </c>
      <c r="F109" t="inlineStr">
        <is>
          <t>Arun Thakur</t>
        </is>
      </c>
      <c r="G109" t="inlineStr">
        <is>
          <t>Closed without action</t>
        </is>
      </c>
      <c r="H109" t="inlineStr"/>
      <c r="I109" t="inlineStr">
        <is>
          <t>P2</t>
        </is>
      </c>
      <c r="J109" s="30" t="n">
        <v>45999</v>
      </c>
      <c r="L109" s="30" t="n">
        <v>46126</v>
      </c>
      <c r="M109" t="inlineStr">
        <is>
          <t>sprint-Hanna</t>
        </is>
      </c>
      <c r="N109" s="11" t="n">
        <v>3</v>
      </c>
      <c r="O109" s="11" t="n">
        <v>8</v>
      </c>
      <c r="P109" t="inlineStr">
        <is>
          <t>FILTER</t>
        </is>
      </c>
      <c r="Q109" t="inlineStr"/>
      <c r="R109" t="inlineStr"/>
      <c r="S109" t="inlineStr"/>
    </row>
    <row r="110">
      <c r="A110" t="inlineStr">
        <is>
          <t>Dev</t>
        </is>
      </c>
      <c r="B110" s="29" t="inlineStr">
        <is>
          <t>FILTER-11381</t>
        </is>
      </c>
      <c r="C110" s="21" t="inlineStr">
        <is>
          <t>Fix CRXTN Logging Failure: Incomplete YouTube URL Captured from Embedded Video Clicks</t>
        </is>
      </c>
      <c r="D110" t="inlineStr">
        <is>
          <t>FILTER-11181</t>
        </is>
      </c>
      <c r="E110" t="inlineStr">
        <is>
          <t>Escape Defect</t>
        </is>
      </c>
      <c r="F110" t="inlineStr">
        <is>
          <t>Arun Thakur</t>
        </is>
      </c>
      <c r="G110" t="inlineStr">
        <is>
          <t>Done</t>
        </is>
      </c>
      <c r="H110" t="inlineStr"/>
      <c r="I110" t="inlineStr">
        <is>
          <t>P2</t>
        </is>
      </c>
      <c r="J110" s="30" t="n">
        <v>46000</v>
      </c>
      <c r="L110" s="30" t="n">
        <v>46129</v>
      </c>
      <c r="M110" t="inlineStr">
        <is>
          <t>sprint-Hanna</t>
        </is>
      </c>
      <c r="N110" s="11" t="n">
        <v>6</v>
      </c>
      <c r="O110" s="11" t="n">
        <v>4</v>
      </c>
      <c r="P110" t="inlineStr">
        <is>
          <t>FILTER</t>
        </is>
      </c>
      <c r="Q110" t="inlineStr"/>
      <c r="R110" t="inlineStr"/>
      <c r="S110" t="inlineStr"/>
    </row>
    <row r="111">
      <c r="A111" t="inlineStr">
        <is>
          <t>Dev</t>
        </is>
      </c>
      <c r="B111" s="29" t="inlineStr">
        <is>
          <t>FILTER-12229</t>
        </is>
      </c>
      <c r="C111" s="21" t="inlineStr">
        <is>
          <t>DEV - JS (All Extensions): Youtube.YT logo on YT page, YT search page, YT video page and YT shorts is not clickable</t>
        </is>
      </c>
      <c r="D111" t="inlineStr">
        <is>
          <t>FILTER-12228</t>
        </is>
      </c>
      <c r="E111" t="inlineStr">
        <is>
          <t>Defect</t>
        </is>
      </c>
      <c r="F111" t="inlineStr">
        <is>
          <t>Arun Thakur</t>
        </is>
      </c>
      <c r="G111" t="inlineStr">
        <is>
          <t>Closed without action</t>
        </is>
      </c>
      <c r="H111" t="inlineStr"/>
      <c r="I111" t="inlineStr">
        <is>
          <t>P1</t>
        </is>
      </c>
      <c r="J111" s="30" t="n">
        <v>46078</v>
      </c>
      <c r="L111" s="30" t="n">
        <v>46127</v>
      </c>
      <c r="M111" t="inlineStr">
        <is>
          <t>sprint-Hanna</t>
        </is>
      </c>
      <c r="N111" s="11" t="n">
        <v>0</v>
      </c>
      <c r="O111" s="11" t="n">
        <v>0</v>
      </c>
      <c r="P111" t="inlineStr">
        <is>
          <t>FILTER</t>
        </is>
      </c>
      <c r="Q111" t="inlineStr"/>
      <c r="R111" t="inlineStr"/>
      <c r="S111" t="inlineStr"/>
    </row>
    <row r="112">
      <c r="A112" t="inlineStr">
        <is>
          <t>Dev</t>
        </is>
      </c>
      <c r="B112" s="29" t="inlineStr">
        <is>
          <t>FILTER-12394</t>
        </is>
      </c>
      <c r="C112" s="21" t="inlineStr">
        <is>
          <t>DEV - DA Filter &gt;&gt; Activities. DA is able to see activities of kids from other OU as well</t>
        </is>
      </c>
      <c r="D112" t="inlineStr">
        <is>
          <t>FILTER-12393</t>
        </is>
      </c>
      <c r="E112" t="inlineStr">
        <is>
          <t>Defect</t>
        </is>
      </c>
      <c r="F112" t="inlineStr">
        <is>
          <t>Arun Thakur</t>
        </is>
      </c>
      <c r="G112" t="inlineStr">
        <is>
          <t>Closed without action</t>
        </is>
      </c>
      <c r="H112" t="inlineStr"/>
      <c r="I112" t="inlineStr">
        <is>
          <t>P1</t>
        </is>
      </c>
      <c r="J112" s="30" t="n">
        <v>46090</v>
      </c>
      <c r="L112" s="30" t="n">
        <v>46126</v>
      </c>
      <c r="M112" t="inlineStr">
        <is>
          <t>sprint-Hanna</t>
        </is>
      </c>
      <c r="N112" s="11" t="n">
        <v>0</v>
      </c>
      <c r="O112" s="11" t="n">
        <v>4</v>
      </c>
      <c r="P112" t="inlineStr">
        <is>
          <t>FILTER</t>
        </is>
      </c>
      <c r="Q112" t="inlineStr"/>
      <c r="R112" t="inlineStr"/>
      <c r="S112" t="inlineStr"/>
    </row>
    <row r="113">
      <c r="A113" t="inlineStr">
        <is>
          <t>Dev</t>
        </is>
      </c>
      <c r="B113" s="29" t="inlineStr">
        <is>
          <t>FILTER-13336</t>
        </is>
      </c>
      <c r="C113" s="21" t="inlineStr">
        <is>
          <t xml:space="preserve">DEV - Image Blur Feature: Google Drive - Download and Copy options available for blurred images </t>
        </is>
      </c>
      <c r="D113" t="inlineStr">
        <is>
          <t>FILTER-13335</t>
        </is>
      </c>
      <c r="E113" t="inlineStr">
        <is>
          <t>Defect</t>
        </is>
      </c>
      <c r="F113" t="inlineStr">
        <is>
          <t>Arun Thakur</t>
        </is>
      </c>
      <c r="G113" t="inlineStr">
        <is>
          <t>Code Review</t>
        </is>
      </c>
      <c r="H113" t="inlineStr"/>
      <c r="I113" t="inlineStr">
        <is>
          <t>P1</t>
        </is>
      </c>
      <c r="J113" s="30" t="n">
        <v>46120</v>
      </c>
      <c r="L113" s="30" t="n">
        <v>46132</v>
      </c>
      <c r="M113" t="inlineStr">
        <is>
          <t>sprint-Hanna</t>
        </is>
      </c>
      <c r="N113" s="11" t="n">
        <v>0</v>
      </c>
      <c r="O113" s="11" t="n">
        <v>4</v>
      </c>
      <c r="P113" t="inlineStr">
        <is>
          <t>FILTER</t>
        </is>
      </c>
      <c r="Q113" t="inlineStr"/>
      <c r="R113" t="inlineStr"/>
      <c r="S113" t="inlineStr"/>
    </row>
    <row r="114">
      <c r="A114" t="inlineStr">
        <is>
          <t>Dev</t>
        </is>
      </c>
      <c r="B114" s="29" t="inlineStr">
        <is>
          <t>FILTER-12513</t>
        </is>
      </c>
      <c r="C114" s="21" t="inlineStr">
        <is>
          <t>Implement end-to-end integration of the Verified Access API, including required Chromebook-side changes to support the API.</t>
        </is>
      </c>
      <c r="D114" t="inlineStr">
        <is>
          <t>FILTER-12512</t>
        </is>
      </c>
      <c r="E114" t="inlineStr">
        <is>
          <t>Task</t>
        </is>
      </c>
      <c r="F114" t="inlineStr">
        <is>
          <t>Ashish Modak</t>
        </is>
      </c>
      <c r="G114" t="inlineStr">
        <is>
          <t>Done</t>
        </is>
      </c>
      <c r="H114" t="inlineStr"/>
      <c r="I114" t="inlineStr">
        <is>
          <t>P3</t>
        </is>
      </c>
      <c r="J114" s="30" t="n">
        <v>46098</v>
      </c>
      <c r="L114" s="30" t="n">
        <v>46126</v>
      </c>
      <c r="M114" t="inlineStr">
        <is>
          <t>sprint-Hanna</t>
        </is>
      </c>
      <c r="N114" s="11" t="n">
        <v>16</v>
      </c>
      <c r="O114" s="11" t="n">
        <v>16</v>
      </c>
      <c r="P114" t="inlineStr">
        <is>
          <t>FILTER</t>
        </is>
      </c>
      <c r="Q114" t="inlineStr"/>
      <c r="R114" t="inlineStr"/>
      <c r="S114" t="inlineStr"/>
    </row>
    <row r="115">
      <c r="A115" t="inlineStr">
        <is>
          <t>Dev</t>
        </is>
      </c>
      <c r="B115" s="29" t="inlineStr">
        <is>
          <t>FILTER-12849</t>
        </is>
      </c>
      <c r="C115" s="21" t="inlineStr">
        <is>
          <t>DEV - [Edge] - Bing allow p o r n search</t>
        </is>
      </c>
      <c r="D115" t="inlineStr">
        <is>
          <t>FILTER-12848</t>
        </is>
      </c>
      <c r="E115" t="inlineStr">
        <is>
          <t>Defect</t>
        </is>
      </c>
      <c r="F115" t="inlineStr">
        <is>
          <t>Ashish Modak</t>
        </is>
      </c>
      <c r="G115" t="inlineStr">
        <is>
          <t>Closed without action</t>
        </is>
      </c>
      <c r="H115" t="inlineStr"/>
      <c r="I115" t="inlineStr">
        <is>
          <t>P3</t>
        </is>
      </c>
      <c r="J115" s="30" t="n">
        <v>46108</v>
      </c>
      <c r="L115" s="30" t="n">
        <v>46126</v>
      </c>
      <c r="M115" t="inlineStr">
        <is>
          <t>sprint-Hanna</t>
        </is>
      </c>
      <c r="N115" s="11" t="n">
        <v>2</v>
      </c>
      <c r="O115" s="11" t="n">
        <v>8</v>
      </c>
      <c r="P115" t="inlineStr">
        <is>
          <t>FILTER</t>
        </is>
      </c>
      <c r="Q115" t="inlineStr"/>
      <c r="R115" t="inlineStr"/>
      <c r="S115" t="inlineStr"/>
    </row>
    <row r="116">
      <c r="A116" t="inlineStr">
        <is>
          <t>Dev</t>
        </is>
      </c>
      <c r="B116" s="29" t="inlineStr">
        <is>
          <t>FILTER-11994</t>
        </is>
      </c>
      <c r="C116" s="21" t="inlineStr">
        <is>
          <t>New Feature | DNS and SPAC changes for Tokenization</t>
        </is>
      </c>
      <c r="D116" t="inlineStr">
        <is>
          <t>FILTER-11532</t>
        </is>
      </c>
      <c r="E116" t="inlineStr">
        <is>
          <t>Story</t>
        </is>
      </c>
      <c r="F116" t="inlineStr">
        <is>
          <t>Ashish Temurnikar</t>
        </is>
      </c>
      <c r="G116" t="inlineStr">
        <is>
          <t>Done</t>
        </is>
      </c>
      <c r="H116" t="inlineStr"/>
      <c r="I116" t="inlineStr">
        <is>
          <t>P3</t>
        </is>
      </c>
      <c r="J116" s="30" t="n">
        <v>46062</v>
      </c>
      <c r="L116" s="30" t="n">
        <v>46126</v>
      </c>
      <c r="M116" t="inlineStr">
        <is>
          <t>sprint-Hanna</t>
        </is>
      </c>
      <c r="N116" s="11" t="n">
        <v>20</v>
      </c>
      <c r="O116" s="11" t="n">
        <v>10</v>
      </c>
      <c r="P116" t="inlineStr">
        <is>
          <t>FILTER</t>
        </is>
      </c>
      <c r="Q116" t="inlineStr">
        <is>
          <t>Capitalized-Feature</t>
        </is>
      </c>
      <c r="R116" t="inlineStr"/>
      <c r="S116" t="inlineStr"/>
    </row>
    <row r="117">
      <c r="A117" t="inlineStr">
        <is>
          <t>Dev</t>
        </is>
      </c>
      <c r="B117" s="29" t="inlineStr">
        <is>
          <t>FILTER-13508</t>
        </is>
      </c>
      <c r="C117" s="21" t="inlineStr">
        <is>
          <t>DEV - SPROX: Incorrect policy logging</t>
        </is>
      </c>
      <c r="D117" t="inlineStr">
        <is>
          <t>FILTER-13507</t>
        </is>
      </c>
      <c r="E117" t="inlineStr">
        <is>
          <t>Defect</t>
        </is>
      </c>
      <c r="F117" t="inlineStr">
        <is>
          <t>Ashish Temurnikar</t>
        </is>
      </c>
      <c r="G117" t="inlineStr">
        <is>
          <t>Closed without action</t>
        </is>
      </c>
      <c r="H117" t="inlineStr"/>
      <c r="I117" t="inlineStr">
        <is>
          <t>P1</t>
        </is>
      </c>
      <c r="J117" s="30" t="n">
        <v>46125</v>
      </c>
      <c r="L117" s="30" t="n">
        <v>46126</v>
      </c>
      <c r="M117" t="inlineStr">
        <is>
          <t>sprint-Hanna</t>
        </is>
      </c>
      <c r="N117" s="11" t="n">
        <v>1</v>
      </c>
      <c r="O117" s="11" t="n">
        <v>1</v>
      </c>
      <c r="P117" t="inlineStr">
        <is>
          <t>FILTER</t>
        </is>
      </c>
      <c r="Q117" t="inlineStr"/>
      <c r="R117" t="inlineStr"/>
      <c r="S117" t="inlineStr"/>
    </row>
    <row r="118">
      <c r="A118" t="inlineStr">
        <is>
          <t>Dev</t>
        </is>
      </c>
      <c r="B118" s="29" t="inlineStr">
        <is>
          <t>FILTER-13731</t>
        </is>
      </c>
      <c r="C118" s="21" t="inlineStr">
        <is>
          <t>DEV - SPROX: Filter leaks within the 10 mins ban</t>
        </is>
      </c>
      <c r="D118" t="inlineStr">
        <is>
          <t>FILTER-13730</t>
        </is>
      </c>
      <c r="E118" t="inlineStr">
        <is>
          <t>Defect</t>
        </is>
      </c>
      <c r="F118" t="inlineStr">
        <is>
          <t>Ashish Temurnikar</t>
        </is>
      </c>
      <c r="G118" t="inlineStr">
        <is>
          <t>Done</t>
        </is>
      </c>
      <c r="H118" t="inlineStr"/>
      <c r="I118" t="inlineStr">
        <is>
          <t>P2</t>
        </is>
      </c>
      <c r="J118" s="30" t="n">
        <v>46134</v>
      </c>
      <c r="L118" s="30" t="n">
        <v>46136</v>
      </c>
      <c r="M118" t="inlineStr">
        <is>
          <t>sprint-Hanna</t>
        </is>
      </c>
      <c r="N118" s="11" t="n">
        <v>4</v>
      </c>
      <c r="O118" s="11" t="n">
        <v>4</v>
      </c>
      <c r="P118" t="inlineStr">
        <is>
          <t>FILTER</t>
        </is>
      </c>
      <c r="Q118" t="inlineStr"/>
      <c r="R118" t="inlineStr"/>
      <c r="S118" t="inlineStr"/>
    </row>
    <row r="119">
      <c r="A119" t="inlineStr">
        <is>
          <t>Review</t>
        </is>
      </c>
      <c r="B119" s="29" t="inlineStr">
        <is>
          <t>FILTER-13763</t>
        </is>
      </c>
      <c r="C119" s="21" t="inlineStr">
        <is>
          <t>Review - DEV - SPROX: GO DNS. YouTube video logging is not happening</t>
        </is>
      </c>
      <c r="D119" t="inlineStr">
        <is>
          <t>FILTER-13562</t>
        </is>
      </c>
      <c r="E119" t="inlineStr">
        <is>
          <t>Defect</t>
        </is>
      </c>
      <c r="F119" t="inlineStr">
        <is>
          <t>Ashish Temurnikar</t>
        </is>
      </c>
      <c r="G119" t="inlineStr">
        <is>
          <t>Done</t>
        </is>
      </c>
      <c r="H119" t="inlineStr"/>
      <c r="I119" t="inlineStr">
        <is>
          <t>P2</t>
        </is>
      </c>
      <c r="J119" s="30" t="n">
        <v>46136</v>
      </c>
      <c r="L119" s="30" t="n">
        <v>46139</v>
      </c>
      <c r="M119" t="inlineStr">
        <is>
          <t>sprint-Hanna</t>
        </is>
      </c>
      <c r="N119" s="11" t="n">
        <v>0.25</v>
      </c>
      <c r="O119" s="11" t="n">
        <v>0</v>
      </c>
      <c r="P119" t="inlineStr">
        <is>
          <t>FILTER</t>
        </is>
      </c>
      <c r="Q119" t="inlineStr"/>
      <c r="R119" t="inlineStr"/>
      <c r="S119" t="inlineStr"/>
    </row>
    <row r="120">
      <c r="A120" t="inlineStr">
        <is>
          <t>Review</t>
        </is>
      </c>
      <c r="B120" s="29" t="inlineStr">
        <is>
          <t>FILTER-13764</t>
        </is>
      </c>
      <c r="C120" s="21" t="inlineStr">
        <is>
          <t>Review - DEV - SPROX: GO DNS.Force Logins OFF. New categories are not getting blocked</t>
        </is>
      </c>
      <c r="D120" t="inlineStr">
        <is>
          <t>FILTER-13587</t>
        </is>
      </c>
      <c r="E120" t="inlineStr">
        <is>
          <t>Defect</t>
        </is>
      </c>
      <c r="F120" t="inlineStr">
        <is>
          <t>Ashish Temurnikar</t>
        </is>
      </c>
      <c r="G120" t="inlineStr">
        <is>
          <t>Done</t>
        </is>
      </c>
      <c r="H120" t="inlineStr"/>
      <c r="I120" t="inlineStr">
        <is>
          <t>P2</t>
        </is>
      </c>
      <c r="J120" s="30" t="n">
        <v>46136</v>
      </c>
      <c r="L120" s="30" t="n">
        <v>46139</v>
      </c>
      <c r="M120" t="inlineStr">
        <is>
          <t>sprint-Hanna</t>
        </is>
      </c>
      <c r="N120" s="11" t="n">
        <v>1</v>
      </c>
      <c r="O120" s="11" t="n">
        <v>0</v>
      </c>
      <c r="P120" t="inlineStr">
        <is>
          <t>FILTER</t>
        </is>
      </c>
      <c r="Q120" t="inlineStr"/>
      <c r="R120" t="inlineStr"/>
      <c r="S120" t="inlineStr"/>
    </row>
    <row r="121">
      <c r="A121" t="inlineStr">
        <is>
          <t>Review</t>
        </is>
      </c>
      <c r="B121" s="29" t="inlineStr">
        <is>
          <t>FILTER-13771</t>
        </is>
      </c>
      <c r="C121" s="21" t="inlineStr">
        <is>
          <t>Review - DEV - Home SPROX: Pause is not getting applied for a kid with SPROX enabled</t>
        </is>
      </c>
      <c r="D121" t="inlineStr">
        <is>
          <t>FILTER-13759</t>
        </is>
      </c>
      <c r="E121" t="inlineStr">
        <is>
          <t>Defect</t>
        </is>
      </c>
      <c r="F121" t="inlineStr">
        <is>
          <t>Ashish Temurnikar</t>
        </is>
      </c>
      <c r="G121" t="inlineStr">
        <is>
          <t>Done</t>
        </is>
      </c>
      <c r="H121" t="inlineStr"/>
      <c r="I121" t="inlineStr">
        <is>
          <t>P2</t>
        </is>
      </c>
      <c r="J121" s="30" t="n">
        <v>46136</v>
      </c>
      <c r="L121" s="30" t="n">
        <v>46136</v>
      </c>
      <c r="M121" t="inlineStr">
        <is>
          <t>sprint-Hanna</t>
        </is>
      </c>
      <c r="N121" s="11" t="n">
        <v>0</v>
      </c>
      <c r="O121" s="11" t="n">
        <v>0</v>
      </c>
      <c r="P121" t="inlineStr">
        <is>
          <t>FILTER</t>
        </is>
      </c>
      <c r="Q121" t="inlineStr"/>
      <c r="R121" t="inlineStr"/>
      <c r="S121" t="inlineStr"/>
    </row>
    <row r="122">
      <c r="A122" t="inlineStr">
        <is>
          <t>Review</t>
        </is>
      </c>
      <c r="B122" s="29" t="inlineStr">
        <is>
          <t>FILTER-13800</t>
        </is>
      </c>
      <c r="C122" s="21" t="inlineStr">
        <is>
          <t>Review - DEV - SPROX: YT keyword block is not getting logged</t>
        </is>
      </c>
      <c r="D122" t="inlineStr">
        <is>
          <t>FILTER-13526</t>
        </is>
      </c>
      <c r="E122" t="inlineStr">
        <is>
          <t>Defect</t>
        </is>
      </c>
      <c r="F122" t="inlineStr">
        <is>
          <t>Ashish Temurnikar</t>
        </is>
      </c>
      <c r="G122" t="inlineStr">
        <is>
          <t>Done</t>
        </is>
      </c>
      <c r="H122" t="inlineStr"/>
      <c r="I122" t="inlineStr">
        <is>
          <t>P2</t>
        </is>
      </c>
      <c r="J122" s="30" t="n">
        <v>46139</v>
      </c>
      <c r="L122" s="30" t="n">
        <v>46139</v>
      </c>
      <c r="M122" t="inlineStr">
        <is>
          <t>sprint-Hanna</t>
        </is>
      </c>
      <c r="N122" s="11" t="n">
        <v>0.17</v>
      </c>
      <c r="O122" s="11" t="n">
        <v>0</v>
      </c>
      <c r="P122" t="inlineStr">
        <is>
          <t>FILTER</t>
        </is>
      </c>
      <c r="Q122" t="inlineStr"/>
      <c r="R122" t="inlineStr"/>
      <c r="S122" t="inlineStr"/>
    </row>
    <row r="123">
      <c r="A123" t="inlineStr">
        <is>
          <t>QA</t>
        </is>
      </c>
      <c r="B123" s="29" t="inlineStr">
        <is>
          <t>FILTER-11149</t>
        </is>
      </c>
      <c r="C123" s="21" t="inlineStr">
        <is>
          <t>Manual QA Validation for "Leaving Page" Popup on Search Engines (Overlay Enabled)</t>
        </is>
      </c>
      <c r="D123" t="inlineStr">
        <is>
          <t>FILTER-10558</t>
        </is>
      </c>
      <c r="E123" t="inlineStr">
        <is>
          <t>Escape Defect</t>
        </is>
      </c>
      <c r="F123" t="inlineStr">
        <is>
          <t>Ayesha Kamde</t>
        </is>
      </c>
      <c r="G123" t="inlineStr">
        <is>
          <t>Done</t>
        </is>
      </c>
      <c r="H123" t="inlineStr"/>
      <c r="I123" t="inlineStr">
        <is>
          <t>P2</t>
        </is>
      </c>
      <c r="J123" s="30" t="n">
        <v>45993</v>
      </c>
      <c r="L123" s="30" t="n">
        <v>46133</v>
      </c>
      <c r="M123" t="inlineStr">
        <is>
          <t>sprint-Hanna</t>
        </is>
      </c>
      <c r="N123" s="11" t="n">
        <v>3</v>
      </c>
      <c r="O123" s="11" t="n">
        <v>3</v>
      </c>
      <c r="P123" t="inlineStr">
        <is>
          <t>FILTER</t>
        </is>
      </c>
      <c r="Q123" t="inlineStr"/>
      <c r="R123" t="inlineStr"/>
      <c r="S123" t="inlineStr"/>
    </row>
    <row r="124">
      <c r="A124" t="inlineStr">
        <is>
          <t>QA</t>
        </is>
      </c>
      <c r="B124" s="29" t="inlineStr">
        <is>
          <t>FILTER-11383</t>
        </is>
      </c>
      <c r="C124" s="21" t="inlineStr">
        <is>
          <t>Manual QA Validation for Incomplete YouTube URL Logging from Embedded Clicks</t>
        </is>
      </c>
      <c r="D124" t="inlineStr">
        <is>
          <t>FILTER-11181</t>
        </is>
      </c>
      <c r="E124" t="inlineStr">
        <is>
          <t>Escape Defect</t>
        </is>
      </c>
      <c r="F124" t="inlineStr">
        <is>
          <t>Ayesha Kamde</t>
        </is>
      </c>
      <c r="G124" t="inlineStr">
        <is>
          <t>Done</t>
        </is>
      </c>
      <c r="H124" t="inlineStr"/>
      <c r="I124" t="inlineStr">
        <is>
          <t>P2</t>
        </is>
      </c>
      <c r="J124" s="30" t="n">
        <v>46000</v>
      </c>
      <c r="L124" s="30" t="n">
        <v>46136</v>
      </c>
      <c r="M124" t="inlineStr">
        <is>
          <t>sprint-Hanna</t>
        </is>
      </c>
      <c r="N124" s="11" t="n">
        <v>6</v>
      </c>
      <c r="O124" s="11" t="n">
        <v>6</v>
      </c>
      <c r="P124" t="inlineStr">
        <is>
          <t>FILTER</t>
        </is>
      </c>
      <c r="Q124" t="inlineStr"/>
      <c r="R124" t="inlineStr"/>
      <c r="S124" t="inlineStr"/>
    </row>
    <row r="125">
      <c r="A125" t="inlineStr">
        <is>
          <t>QA</t>
        </is>
      </c>
      <c r="B125" s="29" t="inlineStr">
        <is>
          <t>FILTER-11657</t>
        </is>
      </c>
      <c r="C125" s="21" t="inlineStr">
        <is>
          <t>Test Crextn Google Workspace Blocking Fix</t>
        </is>
      </c>
      <c r="D125" t="inlineStr">
        <is>
          <t>FILTER-11654</t>
        </is>
      </c>
      <c r="E125" t="inlineStr">
        <is>
          <t>Escape Defect</t>
        </is>
      </c>
      <c r="F125" t="inlineStr">
        <is>
          <t>Ayesha Kamde</t>
        </is>
      </c>
      <c r="G125" t="inlineStr">
        <is>
          <t>QA Verified</t>
        </is>
      </c>
      <c r="H125" t="inlineStr"/>
      <c r="I125" t="inlineStr">
        <is>
          <t>P1</t>
        </is>
      </c>
      <c r="J125" s="30" t="n">
        <v>46037</v>
      </c>
      <c r="L125" s="30" t="n">
        <v>46140</v>
      </c>
      <c r="M125" t="inlineStr">
        <is>
          <t>sprint-Hanna</t>
        </is>
      </c>
      <c r="N125" s="11" t="n">
        <v>13</v>
      </c>
      <c r="O125" s="11" t="n">
        <v>12</v>
      </c>
      <c r="P125" t="inlineStr">
        <is>
          <t>FILTER</t>
        </is>
      </c>
      <c r="Q125" t="inlineStr"/>
      <c r="R125" t="inlineStr"/>
      <c r="S125" t="inlineStr"/>
    </row>
    <row r="126">
      <c r="A126" t="inlineStr">
        <is>
          <t>QA</t>
        </is>
      </c>
      <c r="B126" s="29" t="inlineStr">
        <is>
          <t>FILTER-12230</t>
        </is>
      </c>
      <c r="C126" s="21" t="inlineStr">
        <is>
          <t>QA- JS (All Extensions): Youtube.YT logo on YT page, YT search page, YT video page and YT shorts is not clickable</t>
        </is>
      </c>
      <c r="D126" t="inlineStr">
        <is>
          <t>FILTER-12228</t>
        </is>
      </c>
      <c r="E126" t="inlineStr">
        <is>
          <t>Defect</t>
        </is>
      </c>
      <c r="F126" t="inlineStr">
        <is>
          <t>Ayesha Kamde</t>
        </is>
      </c>
      <c r="G126" t="inlineStr">
        <is>
          <t>Done</t>
        </is>
      </c>
      <c r="H126" t="inlineStr"/>
      <c r="I126" t="inlineStr">
        <is>
          <t>P1</t>
        </is>
      </c>
      <c r="J126" s="30" t="n">
        <v>46078</v>
      </c>
      <c r="L126" s="30" t="n">
        <v>46132</v>
      </c>
      <c r="M126" t="inlineStr">
        <is>
          <t>sprint-Hanna</t>
        </is>
      </c>
      <c r="N126" s="11" t="n">
        <v>1.5</v>
      </c>
      <c r="O126" s="11" t="n">
        <v>2</v>
      </c>
      <c r="P126" t="inlineStr">
        <is>
          <t>FILTER</t>
        </is>
      </c>
      <c r="Q126" t="inlineStr"/>
      <c r="R126" t="inlineStr"/>
      <c r="S126" t="inlineStr"/>
    </row>
    <row r="127">
      <c r="A127" t="inlineStr">
        <is>
          <t>QA</t>
        </is>
      </c>
      <c r="B127" s="29" t="inlineStr">
        <is>
          <t>FILTER-12719</t>
        </is>
      </c>
      <c r="C127" s="21" t="inlineStr">
        <is>
          <t>QA- TS Ext + Go. Site Approved via TWL process, gets logged in Default Policy rather than Global Policy</t>
        </is>
      </c>
      <c r="D127" t="inlineStr">
        <is>
          <t>FILTER-12716</t>
        </is>
      </c>
      <c r="E127" t="inlineStr">
        <is>
          <t>Escape Defect</t>
        </is>
      </c>
      <c r="F127" t="inlineStr">
        <is>
          <t>Ayesha Kamde</t>
        </is>
      </c>
      <c r="G127" t="inlineStr">
        <is>
          <t>Done</t>
        </is>
      </c>
      <c r="H127" t="inlineStr"/>
      <c r="I127" t="inlineStr">
        <is>
          <t>P2</t>
        </is>
      </c>
      <c r="J127" s="30" t="n">
        <v>46107</v>
      </c>
      <c r="L127" s="30" t="n">
        <v>46129</v>
      </c>
      <c r="M127" t="inlineStr">
        <is>
          <t>sprint-Hanna</t>
        </is>
      </c>
      <c r="N127" s="11" t="n">
        <v>6</v>
      </c>
      <c r="O127" s="11" t="n">
        <v>3.5</v>
      </c>
      <c r="P127" t="inlineStr">
        <is>
          <t>FILTER</t>
        </is>
      </c>
      <c r="Q127" t="inlineStr"/>
      <c r="R127" t="inlineStr"/>
      <c r="S127" t="inlineStr"/>
    </row>
    <row r="128">
      <c r="A128" t="inlineStr">
        <is>
          <t>QA</t>
        </is>
      </c>
      <c r="B128" s="29" t="inlineStr">
        <is>
          <t>FILTER-12720</t>
        </is>
      </c>
      <c r="C128" s="21" t="inlineStr">
        <is>
          <t>QA- TS Ext + Go. Site Approved via TWL process, gets logged in Default Policy rather than Global Policy</t>
        </is>
      </c>
      <c r="D128" t="inlineStr">
        <is>
          <t>FILTER-12716</t>
        </is>
      </c>
      <c r="E128" t="inlineStr">
        <is>
          <t>Escape Defect</t>
        </is>
      </c>
      <c r="F128" t="inlineStr">
        <is>
          <t>Ayesha Kamde</t>
        </is>
      </c>
      <c r="G128" t="inlineStr">
        <is>
          <t>Closed without action</t>
        </is>
      </c>
      <c r="H128" t="inlineStr"/>
      <c r="I128" t="inlineStr">
        <is>
          <t>P1</t>
        </is>
      </c>
      <c r="J128" s="30" t="n">
        <v>46107</v>
      </c>
      <c r="L128" s="30" t="n">
        <v>46126</v>
      </c>
      <c r="M128" t="inlineStr">
        <is>
          <t>sprint-Hanna</t>
        </is>
      </c>
      <c r="N128" s="11" t="n">
        <v>0</v>
      </c>
      <c r="O128" s="11" t="n">
        <v>0</v>
      </c>
      <c r="P128" t="inlineStr">
        <is>
          <t>FILTER</t>
        </is>
      </c>
      <c r="Q128" t="inlineStr"/>
      <c r="R128" t="inlineStr"/>
      <c r="S128" t="inlineStr"/>
    </row>
    <row r="129">
      <c r="A129" t="inlineStr">
        <is>
          <t>QA</t>
        </is>
      </c>
      <c r="B129" s="29" t="inlineStr">
        <is>
          <t>FILTER-13107</t>
        </is>
      </c>
      <c r="C129" s="21" t="inlineStr">
        <is>
          <t xml:space="preserve">QA- Looking for solution for HTML Editor vulnerabilities </t>
        </is>
      </c>
      <c r="D129" t="inlineStr">
        <is>
          <t>FILTER-13105</t>
        </is>
      </c>
      <c r="E129" t="inlineStr">
        <is>
          <t>Escape Defect</t>
        </is>
      </c>
      <c r="F129" t="inlineStr">
        <is>
          <t>Ayesha Kamde</t>
        </is>
      </c>
      <c r="G129" t="inlineStr">
        <is>
          <t>Done</t>
        </is>
      </c>
      <c r="H129" t="inlineStr"/>
      <c r="I129" t="inlineStr">
        <is>
          <t>P1</t>
        </is>
      </c>
      <c r="J129" s="30" t="n">
        <v>46114</v>
      </c>
      <c r="L129" s="30" t="n">
        <v>46135</v>
      </c>
      <c r="M129" t="inlineStr">
        <is>
          <t>sprint-Hanna</t>
        </is>
      </c>
      <c r="N129" s="11" t="n">
        <v>9</v>
      </c>
      <c r="O129" s="11" t="n">
        <v>12</v>
      </c>
      <c r="P129" t="inlineStr">
        <is>
          <t>FILTER</t>
        </is>
      </c>
      <c r="Q129" t="inlineStr"/>
      <c r="R129" t="inlineStr"/>
      <c r="S129" t="inlineStr"/>
    </row>
    <row r="130">
      <c r="A130" t="inlineStr">
        <is>
          <t>QA</t>
        </is>
      </c>
      <c r="B130" s="29" t="inlineStr">
        <is>
          <t>FILTER-13647</t>
        </is>
      </c>
      <c r="C130" s="21" t="inlineStr">
        <is>
          <t>QA - [Proxy]: Send fid and userEmail to pagescan</t>
        </is>
      </c>
      <c r="D130" t="inlineStr">
        <is>
          <t>FILTER-13645</t>
        </is>
      </c>
      <c r="E130" t="inlineStr">
        <is>
          <t>Task</t>
        </is>
      </c>
      <c r="F130" t="inlineStr">
        <is>
          <t>Ayesha Kamde</t>
        </is>
      </c>
      <c r="G130" t="inlineStr">
        <is>
          <t>Done</t>
        </is>
      </c>
      <c r="H130" t="inlineStr"/>
      <c r="I130" t="inlineStr">
        <is>
          <t>P1</t>
        </is>
      </c>
      <c r="J130" s="30" t="n">
        <v>46132</v>
      </c>
      <c r="L130" s="30" t="n">
        <v>46134</v>
      </c>
      <c r="M130" t="inlineStr">
        <is>
          <t>sprint-Hanna</t>
        </is>
      </c>
      <c r="N130" s="11" t="n">
        <v>8</v>
      </c>
      <c r="O130" s="11" t="n">
        <v>8</v>
      </c>
      <c r="P130" t="inlineStr">
        <is>
          <t>FILTER</t>
        </is>
      </c>
      <c r="Q130" t="inlineStr"/>
      <c r="R130" t="inlineStr"/>
      <c r="S130" t="inlineStr"/>
    </row>
    <row r="131">
      <c r="A131" t="inlineStr">
        <is>
          <t>Dev</t>
        </is>
      </c>
      <c r="B131" s="29" t="inlineStr">
        <is>
          <t>FILTER-12242</t>
        </is>
      </c>
      <c r="C131" s="21" t="inlineStr">
        <is>
          <t>Do the required changes in order to achieve the Story's ask</t>
        </is>
      </c>
      <c r="D131" t="inlineStr">
        <is>
          <t>FILTER-12241</t>
        </is>
      </c>
      <c r="E131" t="inlineStr">
        <is>
          <t>Story</t>
        </is>
      </c>
      <c r="F131" t="inlineStr">
        <is>
          <t>Harsh Verma</t>
        </is>
      </c>
      <c r="G131" t="inlineStr">
        <is>
          <t>Done</t>
        </is>
      </c>
      <c r="H131" t="inlineStr"/>
      <c r="I131" t="inlineStr">
        <is>
          <t>P3</t>
        </is>
      </c>
      <c r="J131" s="30" t="n">
        <v>46079</v>
      </c>
      <c r="L131" s="30" t="n">
        <v>46128</v>
      </c>
      <c r="M131" t="inlineStr">
        <is>
          <t>sprint-Hanna</t>
        </is>
      </c>
      <c r="N131" s="11" t="n">
        <v>36</v>
      </c>
      <c r="O131" s="11" t="n">
        <v>32</v>
      </c>
      <c r="P131" t="inlineStr">
        <is>
          <t>FILTER</t>
        </is>
      </c>
      <c r="Q131" t="inlineStr"/>
      <c r="R131" t="inlineStr"/>
      <c r="S131" t="inlineStr"/>
    </row>
    <row r="132">
      <c r="A132" t="inlineStr">
        <is>
          <t>Dev</t>
        </is>
      </c>
      <c r="B132" s="29" t="inlineStr">
        <is>
          <t>FILTER-13378</t>
        </is>
      </c>
      <c r="C132" s="21" t="inlineStr">
        <is>
          <t>DEV - Safety Console &gt;&gt; Policy Editor. Allow/Block Search terms' pop-up does not show value if added text is not as per validations.</t>
        </is>
      </c>
      <c r="D132" t="inlineStr">
        <is>
          <t>FILTER-13377</t>
        </is>
      </c>
      <c r="E132" t="inlineStr">
        <is>
          <t>Defect</t>
        </is>
      </c>
      <c r="F132" t="inlineStr">
        <is>
          <t>Harshada Kude</t>
        </is>
      </c>
      <c r="G132" t="inlineStr">
        <is>
          <t>Done</t>
        </is>
      </c>
      <c r="H132" t="inlineStr"/>
      <c r="I132" t="inlineStr">
        <is>
          <t>P3</t>
        </is>
      </c>
      <c r="J132" s="30" t="n">
        <v>46121</v>
      </c>
      <c r="L132" s="30" t="n">
        <v>46133</v>
      </c>
      <c r="M132" t="inlineStr">
        <is>
          <t>sprint-Hanna</t>
        </is>
      </c>
      <c r="N132" s="11" t="n">
        <v>1</v>
      </c>
      <c r="O132" s="11" t="n">
        <v>0.5</v>
      </c>
      <c r="P132" t="inlineStr">
        <is>
          <t>FILTER</t>
        </is>
      </c>
      <c r="Q132" t="inlineStr"/>
      <c r="R132" t="inlineStr"/>
      <c r="S132" t="inlineStr"/>
    </row>
    <row r="133">
      <c r="A133" t="inlineStr">
        <is>
          <t>Dev</t>
        </is>
      </c>
      <c r="B133" s="29" t="inlineStr">
        <is>
          <t>FILTER-13583</t>
        </is>
      </c>
      <c r="C133" s="21" t="inlineStr">
        <is>
          <t>DEV - Safety Console &gt;&gt; Filter. Translation and Accessibility issues</t>
        </is>
      </c>
      <c r="D133" t="inlineStr">
        <is>
          <t>FILTER-13581</t>
        </is>
      </c>
      <c r="E133" t="inlineStr">
        <is>
          <t>Escape Defect</t>
        </is>
      </c>
      <c r="F133" t="inlineStr">
        <is>
          <t>Harshada Kude</t>
        </is>
      </c>
      <c r="G133" t="inlineStr">
        <is>
          <t>Done</t>
        </is>
      </c>
      <c r="H133" t="inlineStr"/>
      <c r="I133" t="inlineStr">
        <is>
          <t>P1</t>
        </is>
      </c>
      <c r="J133" s="30" t="n">
        <v>46128</v>
      </c>
      <c r="L133" s="30" t="n">
        <v>46132</v>
      </c>
      <c r="M133" t="inlineStr">
        <is>
          <t>sprint-Hanna</t>
        </is>
      </c>
      <c r="N133" s="11" t="n">
        <v>12</v>
      </c>
      <c r="O133" s="11" t="n">
        <v>8</v>
      </c>
      <c r="P133" t="inlineStr">
        <is>
          <t>FILTER</t>
        </is>
      </c>
      <c r="Q133" t="inlineStr"/>
      <c r="R133" t="inlineStr"/>
      <c r="S133" t="inlineStr"/>
    </row>
    <row r="134">
      <c r="A134" t="inlineStr">
        <is>
          <t>Dev</t>
        </is>
      </c>
      <c r="B134" s="29" t="inlineStr">
        <is>
          <t>FILTER-11533</t>
        </is>
      </c>
      <c r="C134" s="21" t="inlineStr">
        <is>
          <t>New Feature | Implement UserToken Retrieval for Signed-In Users</t>
        </is>
      </c>
      <c r="D134" t="inlineStr">
        <is>
          <t>FILTER-11532</t>
        </is>
      </c>
      <c r="E134" t="inlineStr">
        <is>
          <t>Story</t>
        </is>
      </c>
      <c r="F134" t="inlineStr">
        <is>
          <t>Prateek Fotedar</t>
        </is>
      </c>
      <c r="G134" t="inlineStr">
        <is>
          <t>Done</t>
        </is>
      </c>
      <c r="H134" t="inlineStr"/>
      <c r="I134" t="inlineStr">
        <is>
          <t>P3</t>
        </is>
      </c>
      <c r="J134" s="30" t="n">
        <v>46010</v>
      </c>
      <c r="L134" s="30" t="n">
        <v>46126</v>
      </c>
      <c r="M134" t="inlineStr">
        <is>
          <t>sprint-Hanna</t>
        </is>
      </c>
      <c r="N134" s="11" t="n">
        <v>15</v>
      </c>
      <c r="O134" s="11" t="n">
        <v>15</v>
      </c>
      <c r="P134" t="inlineStr">
        <is>
          <t>FILTER</t>
        </is>
      </c>
      <c r="Q134" t="inlineStr">
        <is>
          <t>Capitalized-Feature</t>
        </is>
      </c>
      <c r="R134" t="inlineStr"/>
      <c r="S134" t="inlineStr"/>
    </row>
    <row r="135">
      <c r="A135" t="inlineStr">
        <is>
          <t>Dev</t>
        </is>
      </c>
      <c r="B135" s="29" t="inlineStr">
        <is>
          <t>FILTER-11535</t>
        </is>
      </c>
      <c r="C135" s="21" t="inlineStr">
        <is>
          <t>New Feature | Tokenization Error Recovery &amp; Fallback Logic</t>
        </is>
      </c>
      <c r="D135" t="inlineStr">
        <is>
          <t>FILTER-11532</t>
        </is>
      </c>
      <c r="E135" t="inlineStr">
        <is>
          <t>Story</t>
        </is>
      </c>
      <c r="F135" t="inlineStr">
        <is>
          <t>Prateek Fotedar</t>
        </is>
      </c>
      <c r="G135" t="inlineStr">
        <is>
          <t>Done</t>
        </is>
      </c>
      <c r="H135" t="inlineStr"/>
      <c r="I135" t="inlineStr">
        <is>
          <t>P3</t>
        </is>
      </c>
      <c r="J135" s="30" t="n">
        <v>46010</v>
      </c>
      <c r="L135" s="30" t="n">
        <v>46126</v>
      </c>
      <c r="M135" t="inlineStr">
        <is>
          <t>sprint-Hanna</t>
        </is>
      </c>
      <c r="N135" s="11" t="n">
        <v>35</v>
      </c>
      <c r="O135" s="11" t="n">
        <v>35</v>
      </c>
      <c r="P135" t="inlineStr">
        <is>
          <t>FILTER</t>
        </is>
      </c>
      <c r="Q135" t="inlineStr">
        <is>
          <t>Capitalized-Feature</t>
        </is>
      </c>
      <c r="R135" t="inlineStr"/>
      <c r="S135" t="inlineStr"/>
    </row>
    <row r="136">
      <c r="A136" t="inlineStr">
        <is>
          <t>Dev</t>
        </is>
      </c>
      <c r="B136" s="29" t="inlineStr">
        <is>
          <t>FILTER-11659</t>
        </is>
      </c>
      <c r="C136" s="21" t="inlineStr">
        <is>
          <t>Phase 3 - Implement FluentD Changes for Tokenization (UserToken)</t>
        </is>
      </c>
      <c r="D136" t="inlineStr">
        <is>
          <t>FILTER-11631</t>
        </is>
      </c>
      <c r="E136" t="inlineStr">
        <is>
          <t>Story</t>
        </is>
      </c>
      <c r="F136" t="inlineStr">
        <is>
          <t>Prateek Fotedar</t>
        </is>
      </c>
      <c r="G136" t="inlineStr">
        <is>
          <t>Done</t>
        </is>
      </c>
      <c r="H136" t="inlineStr"/>
      <c r="I136" t="inlineStr">
        <is>
          <t>P3</t>
        </is>
      </c>
      <c r="J136" s="30" t="n">
        <v>46037</v>
      </c>
      <c r="L136" s="30" t="n">
        <v>46126</v>
      </c>
      <c r="M136" t="inlineStr">
        <is>
          <t>sprint-Hanna</t>
        </is>
      </c>
      <c r="N136" s="11" t="n">
        <v>12</v>
      </c>
      <c r="O136" s="11" t="n">
        <v>12</v>
      </c>
      <c r="P136" t="inlineStr">
        <is>
          <t>FILTER</t>
        </is>
      </c>
      <c r="Q136" t="inlineStr">
        <is>
          <t>Capitalized-Feature</t>
        </is>
      </c>
      <c r="R136" t="inlineStr"/>
      <c r="S136" t="inlineStr"/>
    </row>
    <row r="137">
      <c r="A137" t="inlineStr">
        <is>
          <t>Dev</t>
        </is>
      </c>
      <c r="B137" s="29" t="inlineStr">
        <is>
          <t>FILTER-11954</t>
        </is>
      </c>
      <c r="C137" s="21" t="inlineStr">
        <is>
          <t>New Feature | DNS and SPAC changes for Tokenization</t>
        </is>
      </c>
      <c r="D137" t="inlineStr">
        <is>
          <t>FILTER-11532</t>
        </is>
      </c>
      <c r="E137" t="inlineStr">
        <is>
          <t>Story</t>
        </is>
      </c>
      <c r="F137" t="inlineStr">
        <is>
          <t>Prateek Fotedar</t>
        </is>
      </c>
      <c r="G137" t="inlineStr">
        <is>
          <t>Done</t>
        </is>
      </c>
      <c r="H137" t="inlineStr"/>
      <c r="I137" t="inlineStr">
        <is>
          <t>P3</t>
        </is>
      </c>
      <c r="J137" s="30" t="n">
        <v>46056</v>
      </c>
      <c r="L137" s="30" t="n">
        <v>46126</v>
      </c>
      <c r="M137" t="inlineStr">
        <is>
          <t>sprint-Hanna</t>
        </is>
      </c>
      <c r="N137" s="11" t="n">
        <v>16</v>
      </c>
      <c r="O137" s="11" t="n">
        <v>16</v>
      </c>
      <c r="P137" t="inlineStr">
        <is>
          <t>FILTER</t>
        </is>
      </c>
      <c r="Q137" t="inlineStr">
        <is>
          <t>Capitalized-Feature</t>
        </is>
      </c>
      <c r="R137" t="inlineStr"/>
      <c r="S137" t="inlineStr"/>
    </row>
    <row r="138">
      <c r="A138" t="inlineStr">
        <is>
          <t>Dev</t>
        </is>
      </c>
      <c r="B138" s="29" t="inlineStr">
        <is>
          <t>FILTER-12301</t>
        </is>
      </c>
      <c r="C138" s="21" t="inlineStr">
        <is>
          <t>POST /api/custom-list allows Admin to create custom list with usage "GLOBAL" - should be rejected</t>
        </is>
      </c>
      <c r="D138" t="inlineStr">
        <is>
          <t>FILTER-11776</t>
        </is>
      </c>
      <c r="E138" t="inlineStr">
        <is>
          <t>Defect</t>
        </is>
      </c>
      <c r="F138" t="inlineStr">
        <is>
          <t>Prateek Fotedar</t>
        </is>
      </c>
      <c r="G138" t="inlineStr">
        <is>
          <t>Closed without action</t>
        </is>
      </c>
      <c r="H138" t="inlineStr"/>
      <c r="I138" t="inlineStr">
        <is>
          <t>P3</t>
        </is>
      </c>
      <c r="J138" s="30" t="n">
        <v>46082</v>
      </c>
      <c r="L138" s="30" t="n">
        <v>46136</v>
      </c>
      <c r="M138" t="inlineStr">
        <is>
          <t>sprint-Hanna</t>
        </is>
      </c>
      <c r="N138" s="11" t="n">
        <v>0.5</v>
      </c>
      <c r="O138" s="11" t="n">
        <v>6</v>
      </c>
      <c r="P138" t="inlineStr">
        <is>
          <t>FILTER</t>
        </is>
      </c>
      <c r="Q138" t="inlineStr">
        <is>
          <t>Capitalized-Feature</t>
        </is>
      </c>
      <c r="R138" t="inlineStr"/>
      <c r="S138" t="inlineStr"/>
    </row>
    <row r="139">
      <c r="A139" t="inlineStr">
        <is>
          <t>Dev</t>
        </is>
      </c>
      <c r="B139" s="29" t="inlineStr">
        <is>
          <t>FILTER-12445</t>
        </is>
      </c>
      <c r="C139" s="21" t="inlineStr">
        <is>
          <t xml:space="preserve">Dev Task to remove test email id from alert </t>
        </is>
      </c>
      <c r="D139" t="inlineStr">
        <is>
          <t>FILTER-12384</t>
        </is>
      </c>
      <c r="E139" t="inlineStr">
        <is>
          <t>Task</t>
        </is>
      </c>
      <c r="F139" t="inlineStr">
        <is>
          <t>Prateek Fotedar</t>
        </is>
      </c>
      <c r="G139" t="inlineStr">
        <is>
          <t>Done</t>
        </is>
      </c>
      <c r="H139" t="inlineStr"/>
      <c r="I139" t="inlineStr">
        <is>
          <t>P3</t>
        </is>
      </c>
      <c r="J139" s="30" t="n">
        <v>46093</v>
      </c>
      <c r="L139" s="30" t="n">
        <v>46132</v>
      </c>
      <c r="M139" t="inlineStr">
        <is>
          <t>sprint-Hanna</t>
        </is>
      </c>
      <c r="N139" s="11" t="n">
        <v>3</v>
      </c>
      <c r="O139" s="11" t="n">
        <v>3</v>
      </c>
      <c r="P139" t="inlineStr">
        <is>
          <t>FILTER</t>
        </is>
      </c>
      <c r="Q139" t="inlineStr"/>
      <c r="R139" t="inlineStr"/>
      <c r="S139" t="inlineStr"/>
    </row>
    <row r="140">
      <c r="A140" t="inlineStr">
        <is>
          <t>Dev</t>
        </is>
      </c>
      <c r="B140" s="29" t="inlineStr">
        <is>
          <t>FILTER-12701</t>
        </is>
      </c>
      <c r="C140" s="21" t="inlineStr">
        <is>
          <t>BE - DA Filter &gt;&gt; Activities. DA is able to see activities of kids from other OU as well</t>
        </is>
      </c>
      <c r="D140" t="inlineStr">
        <is>
          <t>FILTER-12393</t>
        </is>
      </c>
      <c r="E140" t="inlineStr">
        <is>
          <t>Defect</t>
        </is>
      </c>
      <c r="F140" t="inlineStr">
        <is>
          <t>Prateek Fotedar</t>
        </is>
      </c>
      <c r="G140" t="inlineStr">
        <is>
          <t>Code Review</t>
        </is>
      </c>
      <c r="H140" t="inlineStr"/>
      <c r="I140" t="inlineStr">
        <is>
          <t>P1</t>
        </is>
      </c>
      <c r="J140" s="30" t="n">
        <v>46107</v>
      </c>
      <c r="L140" s="30" t="n">
        <v>46133</v>
      </c>
      <c r="M140" t="inlineStr">
        <is>
          <t>sprint-Hanna</t>
        </is>
      </c>
      <c r="N140" s="11" t="n">
        <v>0</v>
      </c>
      <c r="O140" s="11" t="n">
        <v>7</v>
      </c>
      <c r="P140" t="inlineStr">
        <is>
          <t>FILTER</t>
        </is>
      </c>
      <c r="Q140" t="inlineStr"/>
      <c r="R140" t="inlineStr"/>
      <c r="S140" t="inlineStr"/>
    </row>
    <row r="141">
      <c r="A141" t="inlineStr">
        <is>
          <t>Dev</t>
        </is>
      </c>
      <c r="B141" s="29" t="inlineStr">
        <is>
          <t>FILTER-12769</t>
        </is>
      </c>
      <c r="C141" s="21" t="inlineStr">
        <is>
          <t>DEV - Support Tool &gt;&gt; Custom list UI. Custom List table.  Listing Order is incorrect. Should be A-Z.</t>
        </is>
      </c>
      <c r="D141" t="inlineStr">
        <is>
          <t>FILTER-12768</t>
        </is>
      </c>
      <c r="E141" t="inlineStr">
        <is>
          <t>Defect</t>
        </is>
      </c>
      <c r="F141" t="inlineStr">
        <is>
          <t>Prateek Fotedar</t>
        </is>
      </c>
      <c r="G141" t="inlineStr">
        <is>
          <t>Done</t>
        </is>
      </c>
      <c r="H141" t="inlineStr"/>
      <c r="I141" t="inlineStr">
        <is>
          <t>P3</t>
        </is>
      </c>
      <c r="J141" s="30" t="n">
        <v>46108</v>
      </c>
      <c r="L141" s="30" t="n">
        <v>46126</v>
      </c>
      <c r="M141" t="inlineStr">
        <is>
          <t>sprint-Hanna</t>
        </is>
      </c>
      <c r="N141" s="11" t="n">
        <v>1.5</v>
      </c>
      <c r="O141" s="11" t="n">
        <v>1.5</v>
      </c>
      <c r="P141" t="inlineStr">
        <is>
          <t>FILTER</t>
        </is>
      </c>
      <c r="Q141" t="inlineStr"/>
      <c r="R141" t="inlineStr"/>
      <c r="S141" t="inlineStr"/>
    </row>
    <row r="142">
      <c r="A142" t="inlineStr">
        <is>
          <t>Dev</t>
        </is>
      </c>
      <c r="B142" s="29" t="inlineStr">
        <is>
          <t>FILTER-12797</t>
        </is>
      </c>
      <c r="C142" s="21" t="inlineStr">
        <is>
          <t>DEV - Update Cron Job for tokenization</t>
        </is>
      </c>
      <c r="D142" t="inlineStr">
        <is>
          <t>FILTER-12796</t>
        </is>
      </c>
      <c r="E142" t="inlineStr">
        <is>
          <t>Task</t>
        </is>
      </c>
      <c r="F142" t="inlineStr">
        <is>
          <t>Prateek Fotedar</t>
        </is>
      </c>
      <c r="G142" t="inlineStr">
        <is>
          <t>Done</t>
        </is>
      </c>
      <c r="H142" t="inlineStr"/>
      <c r="I142" t="inlineStr">
        <is>
          <t>P3</t>
        </is>
      </c>
      <c r="J142" s="30" t="n">
        <v>46108</v>
      </c>
      <c r="L142" s="30" t="n">
        <v>46126</v>
      </c>
      <c r="M142" t="inlineStr">
        <is>
          <t>sprint-Hanna</t>
        </is>
      </c>
      <c r="N142" s="11" t="n">
        <v>6</v>
      </c>
      <c r="O142" s="11" t="n">
        <v>6</v>
      </c>
      <c r="P142" t="inlineStr">
        <is>
          <t>FILTER</t>
        </is>
      </c>
      <c r="Q142" t="inlineStr"/>
      <c r="R142" t="inlineStr"/>
      <c r="S142" t="inlineStr"/>
    </row>
    <row r="143">
      <c r="A143" t="inlineStr">
        <is>
          <t>Dev</t>
        </is>
      </c>
      <c r="B143" s="29" t="inlineStr">
        <is>
          <t>FILTER-12865</t>
        </is>
      </c>
      <c r="C143" s="21" t="inlineStr">
        <is>
          <t>DEV - Support Tool &gt;&gt; Custom list UI. Custom List table &gt;&gt; "Last updated by" field is not showing value for every list</t>
        </is>
      </c>
      <c r="D143" t="inlineStr">
        <is>
          <t>FILTER-12864</t>
        </is>
      </c>
      <c r="E143" t="inlineStr">
        <is>
          <t>Defect</t>
        </is>
      </c>
      <c r="F143" t="inlineStr">
        <is>
          <t>Prateek Fotedar</t>
        </is>
      </c>
      <c r="G143" t="inlineStr">
        <is>
          <t>Closed without action</t>
        </is>
      </c>
      <c r="H143" t="inlineStr"/>
      <c r="I143" t="inlineStr">
        <is>
          <t>P2</t>
        </is>
      </c>
      <c r="J143" s="30" t="n">
        <v>46108</v>
      </c>
      <c r="L143" s="30" t="n">
        <v>46126</v>
      </c>
      <c r="M143" t="inlineStr">
        <is>
          <t>sprint-Hanna</t>
        </is>
      </c>
      <c r="N143" s="11" t="n">
        <v>1</v>
      </c>
      <c r="O143" s="11" t="n">
        <v>1</v>
      </c>
      <c r="P143" t="inlineStr">
        <is>
          <t>FILTER</t>
        </is>
      </c>
      <c r="Q143" t="inlineStr"/>
      <c r="R143" t="inlineStr"/>
      <c r="S143" t="inlineStr"/>
    </row>
    <row r="144">
      <c r="A144" t="inlineStr">
        <is>
          <t>Dev</t>
        </is>
      </c>
      <c r="B144" s="29" t="inlineStr">
        <is>
          <t>FILTER-12869</t>
        </is>
      </c>
      <c r="C144" s="21" t="inlineStr">
        <is>
          <t>DEV - Support Tool &gt;&gt; Custom list UI. Custom List table &gt;&gt; we are able to see global lists which are created by non support tool users as well</t>
        </is>
      </c>
      <c r="D144" t="inlineStr">
        <is>
          <t>FILTER-12868</t>
        </is>
      </c>
      <c r="E144" t="inlineStr">
        <is>
          <t>Defect</t>
        </is>
      </c>
      <c r="F144" t="inlineStr">
        <is>
          <t>Prateek Fotedar</t>
        </is>
      </c>
      <c r="G144" t="inlineStr">
        <is>
          <t>Closed without action</t>
        </is>
      </c>
      <c r="H144" t="inlineStr"/>
      <c r="I144" t="inlineStr">
        <is>
          <t>P1</t>
        </is>
      </c>
      <c r="J144" s="30" t="n">
        <v>46108</v>
      </c>
      <c r="L144" s="30" t="n">
        <v>46126</v>
      </c>
      <c r="M144" t="inlineStr">
        <is>
          <t>sprint-Hanna</t>
        </is>
      </c>
      <c r="N144" s="11" t="n">
        <v>1.5</v>
      </c>
      <c r="O144" s="11" t="n">
        <v>1.5</v>
      </c>
      <c r="P144" t="inlineStr">
        <is>
          <t>FILTER</t>
        </is>
      </c>
      <c r="Q144" t="inlineStr"/>
      <c r="R144" t="inlineStr"/>
      <c r="S144" t="inlineStr"/>
    </row>
    <row r="145">
      <c r="A145" t="inlineStr">
        <is>
          <t>Dev</t>
        </is>
      </c>
      <c r="B145" s="29" t="inlineStr">
        <is>
          <t>FILTER-12893</t>
        </is>
      </c>
      <c r="C145" s="21" t="inlineStr">
        <is>
          <t>DEV - Support Tool &gt;&gt; Custom list UI. Create custom list and Edit custom list, pages error message is not explanatory for more than 255 character length</t>
        </is>
      </c>
      <c r="D145" t="inlineStr">
        <is>
          <t>FILTER-12892</t>
        </is>
      </c>
      <c r="E145" t="inlineStr">
        <is>
          <t>Defect</t>
        </is>
      </c>
      <c r="F145" t="inlineStr">
        <is>
          <t>Prateek Fotedar</t>
        </is>
      </c>
      <c r="G145" t="inlineStr">
        <is>
          <t>Done</t>
        </is>
      </c>
      <c r="H145" t="inlineStr"/>
      <c r="I145" t="inlineStr">
        <is>
          <t>P2</t>
        </is>
      </c>
      <c r="J145" s="30" t="n">
        <v>46108</v>
      </c>
      <c r="L145" s="30" t="n">
        <v>46129</v>
      </c>
      <c r="M145" t="inlineStr">
        <is>
          <t>sprint-Hanna</t>
        </is>
      </c>
      <c r="N145" s="11" t="n">
        <v>2</v>
      </c>
      <c r="O145" s="11" t="n">
        <v>2</v>
      </c>
      <c r="P145" t="inlineStr">
        <is>
          <t>FILTER</t>
        </is>
      </c>
      <c r="Q145" t="inlineStr"/>
      <c r="R145" t="inlineStr"/>
      <c r="S145" t="inlineStr"/>
    </row>
    <row r="146">
      <c r="A146" t="inlineStr">
        <is>
          <t>Dev</t>
        </is>
      </c>
      <c r="B146" s="29" t="inlineStr">
        <is>
          <t>FILTER-12901</t>
        </is>
      </c>
      <c r="C146" s="21" t="inlineStr">
        <is>
          <t>DEV - Support Tool &gt;&gt; Custom list UI. Create custom list and Edit custom list, pages error message is not explanatory for duplicate Custom list name</t>
        </is>
      </c>
      <c r="D146" t="inlineStr">
        <is>
          <t>FILTER-12900</t>
        </is>
      </c>
      <c r="E146" t="inlineStr">
        <is>
          <t>Defect</t>
        </is>
      </c>
      <c r="F146" t="inlineStr">
        <is>
          <t>Prateek Fotedar</t>
        </is>
      </c>
      <c r="G146" t="inlineStr">
        <is>
          <t>Done</t>
        </is>
      </c>
      <c r="H146" t="inlineStr"/>
      <c r="I146" t="inlineStr">
        <is>
          <t>P2</t>
        </is>
      </c>
      <c r="J146" s="30" t="n">
        <v>46108</v>
      </c>
      <c r="L146" s="30" t="n">
        <v>46129</v>
      </c>
      <c r="M146" t="inlineStr">
        <is>
          <t>sprint-Hanna</t>
        </is>
      </c>
      <c r="N146" s="11" t="n">
        <v>2</v>
      </c>
      <c r="O146" s="11" t="n">
        <v>2</v>
      </c>
      <c r="P146" t="inlineStr">
        <is>
          <t>FILTER</t>
        </is>
      </c>
      <c r="Q146" t="inlineStr"/>
      <c r="R146" t="inlineStr"/>
      <c r="S146" t="inlineStr"/>
    </row>
    <row r="147">
      <c r="A147" t="inlineStr">
        <is>
          <t>Dev</t>
        </is>
      </c>
      <c r="B147" s="29" t="inlineStr">
        <is>
          <t>FILTER-12937</t>
        </is>
      </c>
      <c r="C147" s="21" t="inlineStr">
        <is>
          <t>DEV - Support Tool &gt;&gt; Custom list UI. Add custom list Search terms type, does not save for Match type Contains</t>
        </is>
      </c>
      <c r="D147" t="inlineStr">
        <is>
          <t>FILTER-12936</t>
        </is>
      </c>
      <c r="E147" t="inlineStr">
        <is>
          <t>Defect</t>
        </is>
      </c>
      <c r="F147" t="inlineStr">
        <is>
          <t>Prateek Fotedar</t>
        </is>
      </c>
      <c r="G147" t="inlineStr">
        <is>
          <t>Done</t>
        </is>
      </c>
      <c r="H147" t="inlineStr"/>
      <c r="I147" t="inlineStr">
        <is>
          <t>P1</t>
        </is>
      </c>
      <c r="J147" s="30" t="n">
        <v>46108</v>
      </c>
      <c r="L147" s="30" t="n">
        <v>46126</v>
      </c>
      <c r="M147" t="inlineStr">
        <is>
          <t>sprint-Hanna</t>
        </is>
      </c>
      <c r="N147" s="11" t="n">
        <v>3</v>
      </c>
      <c r="O147" s="11" t="n">
        <v>3</v>
      </c>
      <c r="P147" t="inlineStr">
        <is>
          <t>FILTER</t>
        </is>
      </c>
      <c r="Q147" t="inlineStr"/>
      <c r="R147" t="inlineStr"/>
      <c r="S147" t="inlineStr"/>
    </row>
    <row r="148">
      <c r="A148" t="inlineStr">
        <is>
          <t>Dev</t>
        </is>
      </c>
      <c r="B148" s="29" t="inlineStr">
        <is>
          <t>FILTER-12998</t>
        </is>
      </c>
      <c r="C148" s="21" t="inlineStr">
        <is>
          <t>DEV - Support Tool &gt;&gt; Custom list UI.  Cross Cluster Create custom lists are not displayed in other clusters</t>
        </is>
      </c>
      <c r="D148" t="inlineStr">
        <is>
          <t>FILTER-12997</t>
        </is>
      </c>
      <c r="E148" t="inlineStr">
        <is>
          <t>Defect</t>
        </is>
      </c>
      <c r="F148" t="inlineStr">
        <is>
          <t>Prateek Fotedar</t>
        </is>
      </c>
      <c r="G148" t="inlineStr">
        <is>
          <t>Done</t>
        </is>
      </c>
      <c r="H148" t="inlineStr"/>
      <c r="I148" t="inlineStr">
        <is>
          <t>P1</t>
        </is>
      </c>
      <c r="J148" s="30" t="n">
        <v>46111</v>
      </c>
      <c r="L148" s="30" t="n">
        <v>46126</v>
      </c>
      <c r="M148" t="inlineStr">
        <is>
          <t>sprint-Hanna</t>
        </is>
      </c>
      <c r="N148" s="11" t="n">
        <v>4</v>
      </c>
      <c r="O148" s="11" t="n">
        <v>4</v>
      </c>
      <c r="P148" t="inlineStr">
        <is>
          <t>FILTER</t>
        </is>
      </c>
      <c r="Q148" t="inlineStr"/>
      <c r="R148" t="inlineStr"/>
      <c r="S148" t="inlineStr"/>
    </row>
    <row r="149">
      <c r="A149" t="inlineStr">
        <is>
          <t>Dev</t>
        </is>
      </c>
      <c r="B149" s="29" t="inlineStr">
        <is>
          <t>FILTER-13032</t>
        </is>
      </c>
      <c r="C149" s="21" t="inlineStr">
        <is>
          <t>DEV - Automate performance testing for tokenization cron job</t>
        </is>
      </c>
      <c r="D149" t="inlineStr">
        <is>
          <t>FILTER-13031</t>
        </is>
      </c>
      <c r="E149" t="inlineStr">
        <is>
          <t>Task</t>
        </is>
      </c>
      <c r="F149" t="inlineStr">
        <is>
          <t>Prateek Fotedar</t>
        </is>
      </c>
      <c r="G149" t="inlineStr">
        <is>
          <t>Closed without action</t>
        </is>
      </c>
      <c r="H149" t="inlineStr"/>
      <c r="I149" t="inlineStr">
        <is>
          <t>P3</t>
        </is>
      </c>
      <c r="J149" s="30" t="n">
        <v>46112</v>
      </c>
      <c r="L149" s="30" t="n">
        <v>46133</v>
      </c>
      <c r="M149" t="inlineStr">
        <is>
          <t>sprint-Hanna</t>
        </is>
      </c>
      <c r="N149" s="11" t="n">
        <v>1</v>
      </c>
      <c r="O149" s="11" t="n">
        <v>1</v>
      </c>
      <c r="P149" t="inlineStr">
        <is>
          <t>FILTER</t>
        </is>
      </c>
      <c r="Q149" t="inlineStr"/>
      <c r="R149" t="inlineStr"/>
      <c r="S149" t="inlineStr"/>
    </row>
    <row r="150">
      <c r="A150" t="inlineStr">
        <is>
          <t>Dev</t>
        </is>
      </c>
      <c r="B150" s="29" t="inlineStr">
        <is>
          <t>FILTER-13299</t>
        </is>
      </c>
      <c r="C150" s="21" t="inlineStr">
        <is>
          <t>DEV - NewFeatureBug. GO DNS: Temporary UserToken is generated even when platform service is available</t>
        </is>
      </c>
      <c r="D150" t="inlineStr">
        <is>
          <t>FILTER-13298</t>
        </is>
      </c>
      <c r="E150" t="inlineStr">
        <is>
          <t>Defect</t>
        </is>
      </c>
      <c r="F150" t="inlineStr">
        <is>
          <t>Prateek Fotedar</t>
        </is>
      </c>
      <c r="G150" t="inlineStr">
        <is>
          <t>Done</t>
        </is>
      </c>
      <c r="H150" t="inlineStr"/>
      <c r="I150" t="inlineStr">
        <is>
          <t>P1</t>
        </is>
      </c>
      <c r="J150" s="30" t="n">
        <v>46119</v>
      </c>
      <c r="L150" s="30" t="n">
        <v>46129</v>
      </c>
      <c r="M150" t="inlineStr">
        <is>
          <t>sprint-Hanna</t>
        </is>
      </c>
      <c r="N150" s="11" t="n">
        <v>1</v>
      </c>
      <c r="O150" s="11" t="n">
        <v>1</v>
      </c>
      <c r="P150" t="inlineStr">
        <is>
          <t>FILTER</t>
        </is>
      </c>
      <c r="Q150" t="inlineStr"/>
      <c r="R150" t="inlineStr"/>
      <c r="S150" t="inlineStr"/>
    </row>
    <row r="151">
      <c r="A151" t="inlineStr">
        <is>
          <t>Dev</t>
        </is>
      </c>
      <c r="B151" s="29" t="inlineStr">
        <is>
          <t>FILTER-13311</t>
        </is>
      </c>
      <c r="C151" s="21" t="inlineStr">
        <is>
          <t>DEV - NewFeatureBug. GO SPAC: UserToken not present for verbose logs</t>
        </is>
      </c>
      <c r="D151" t="inlineStr">
        <is>
          <t>FILTER-13310</t>
        </is>
      </c>
      <c r="E151" t="inlineStr">
        <is>
          <t>Defect</t>
        </is>
      </c>
      <c r="F151" t="inlineStr">
        <is>
          <t>Prateek Fotedar</t>
        </is>
      </c>
      <c r="G151" t="inlineStr">
        <is>
          <t>Done</t>
        </is>
      </c>
      <c r="H151" t="inlineStr"/>
      <c r="I151" t="inlineStr">
        <is>
          <t>P1</t>
        </is>
      </c>
      <c r="J151" s="30" t="n">
        <v>46119</v>
      </c>
      <c r="L151" s="30" t="n">
        <v>46132</v>
      </c>
      <c r="M151" t="inlineStr">
        <is>
          <t>sprint-Hanna</t>
        </is>
      </c>
      <c r="N151" s="11" t="n">
        <v>4</v>
      </c>
      <c r="O151" s="11" t="n">
        <v>4</v>
      </c>
      <c r="P151" t="inlineStr">
        <is>
          <t>FILTER</t>
        </is>
      </c>
      <c r="Q151" t="inlineStr"/>
      <c r="R151" t="inlineStr"/>
      <c r="S151" t="inlineStr"/>
    </row>
    <row r="152">
      <c r="A152" t="inlineStr">
        <is>
          <t>Dev</t>
        </is>
      </c>
      <c r="B152" s="29" t="inlineStr">
        <is>
          <t>FILTER-13345</t>
        </is>
      </c>
      <c r="C152" s="21" t="inlineStr">
        <is>
          <t>DEV - NewFeatureBug. SPAC: After anonymous user log, activities do not have userToken</t>
        </is>
      </c>
      <c r="D152" t="inlineStr">
        <is>
          <t>FILTER-13344</t>
        </is>
      </c>
      <c r="E152" t="inlineStr">
        <is>
          <t>Defect</t>
        </is>
      </c>
      <c r="F152" t="inlineStr">
        <is>
          <t>Prateek Fotedar</t>
        </is>
      </c>
      <c r="G152" t="inlineStr">
        <is>
          <t>Done</t>
        </is>
      </c>
      <c r="H152" t="inlineStr"/>
      <c r="I152" t="inlineStr">
        <is>
          <t>P1</t>
        </is>
      </c>
      <c r="J152" s="30" t="n">
        <v>46120</v>
      </c>
      <c r="L152" s="30" t="n">
        <v>46132</v>
      </c>
      <c r="M152" t="inlineStr">
        <is>
          <t>sprint-Hanna</t>
        </is>
      </c>
      <c r="N152" s="11" t="n">
        <v>3</v>
      </c>
      <c r="O152" s="11" t="n">
        <v>3</v>
      </c>
      <c r="P152" t="inlineStr">
        <is>
          <t>FILTER</t>
        </is>
      </c>
      <c r="Q152" t="inlineStr"/>
      <c r="R152" t="inlineStr"/>
      <c r="S152" t="inlineStr"/>
    </row>
    <row r="153">
      <c r="A153" t="inlineStr">
        <is>
          <t>Dev</t>
        </is>
      </c>
      <c r="B153" s="29" t="inlineStr">
        <is>
          <t>FILTER-13353</t>
        </is>
      </c>
      <c r="C153" s="21" t="inlineStr">
        <is>
          <t>DEV - NewFeatureBug. SPAC: userToken not created when Force logins is ON</t>
        </is>
      </c>
      <c r="D153" t="inlineStr">
        <is>
          <t>FILTER-13352</t>
        </is>
      </c>
      <c r="E153" t="inlineStr">
        <is>
          <t>Defect</t>
        </is>
      </c>
      <c r="F153" t="inlineStr">
        <is>
          <t>Prateek Fotedar</t>
        </is>
      </c>
      <c r="G153" t="inlineStr">
        <is>
          <t>Done</t>
        </is>
      </c>
      <c r="H153" t="inlineStr"/>
      <c r="I153" t="inlineStr">
        <is>
          <t>P1</t>
        </is>
      </c>
      <c r="J153" s="30" t="n">
        <v>46120</v>
      </c>
      <c r="L153" s="30" t="n">
        <v>46132</v>
      </c>
      <c r="M153" t="inlineStr">
        <is>
          <t>sprint-Hanna</t>
        </is>
      </c>
      <c r="N153" s="11" t="n">
        <v>3</v>
      </c>
      <c r="O153" s="11" t="n">
        <v>3</v>
      </c>
      <c r="P153" t="inlineStr">
        <is>
          <t>FILTER</t>
        </is>
      </c>
      <c r="Q153" t="inlineStr"/>
      <c r="R153" t="inlineStr"/>
      <c r="S153" t="inlineStr"/>
    </row>
    <row r="154">
      <c r="A154" t="inlineStr">
        <is>
          <t>Dev</t>
        </is>
      </c>
      <c r="B154" s="29" t="inlineStr">
        <is>
          <t>FILTER-13516</t>
        </is>
      </c>
      <c r="C154" s="21" t="inlineStr">
        <is>
          <t>DEV -BE - Support Tool &gt;&gt; Custom list UI. Create custom list Resource and Edit custom list Resource, drawers donot check for duplicate Custom list resource.</t>
        </is>
      </c>
      <c r="D154" t="inlineStr">
        <is>
          <t>FILTER-12904</t>
        </is>
      </c>
      <c r="E154" t="inlineStr">
        <is>
          <t>Defect</t>
        </is>
      </c>
      <c r="F154" t="inlineStr">
        <is>
          <t>Prateek Fotedar</t>
        </is>
      </c>
      <c r="G154" t="inlineStr">
        <is>
          <t>Code Review</t>
        </is>
      </c>
      <c r="H154" t="inlineStr"/>
      <c r="I154" t="inlineStr">
        <is>
          <t>P2</t>
        </is>
      </c>
      <c r="J154" s="30" t="n">
        <v>46126</v>
      </c>
      <c r="L154" s="30" t="n">
        <v>46134</v>
      </c>
      <c r="M154" t="inlineStr">
        <is>
          <t>sprint-Hanna</t>
        </is>
      </c>
      <c r="N154" s="11" t="n">
        <v>0</v>
      </c>
      <c r="O154" s="11" t="n">
        <v>5</v>
      </c>
      <c r="P154" t="inlineStr">
        <is>
          <t>FILTER</t>
        </is>
      </c>
      <c r="Q154" t="inlineStr"/>
      <c r="R154" t="inlineStr"/>
      <c r="S154" t="inlineStr"/>
    </row>
    <row r="155">
      <c r="A155" t="inlineStr">
        <is>
          <t>Dev</t>
        </is>
      </c>
      <c r="B155" s="29" t="inlineStr">
        <is>
          <t>FILTER-13712</t>
        </is>
      </c>
      <c r="C155" s="21" t="inlineStr">
        <is>
          <t>DEV - Support Tool &gt;&gt; Custom list UI. Need Validation for Resource and Type Mismatch</t>
        </is>
      </c>
      <c r="D155" t="inlineStr">
        <is>
          <t>FILTER-13711</t>
        </is>
      </c>
      <c r="E155" t="inlineStr">
        <is>
          <t>Defect</t>
        </is>
      </c>
      <c r="F155" t="inlineStr">
        <is>
          <t>Prateek Fotedar</t>
        </is>
      </c>
      <c r="G155" t="inlineStr">
        <is>
          <t>Code Review</t>
        </is>
      </c>
      <c r="H155" t="inlineStr"/>
      <c r="I155" t="inlineStr">
        <is>
          <t>P3</t>
        </is>
      </c>
      <c r="J155" s="30" t="n">
        <v>46134</v>
      </c>
      <c r="L155" s="30" t="n">
        <v>46135</v>
      </c>
      <c r="M155" t="inlineStr">
        <is>
          <t>sprint-Hanna</t>
        </is>
      </c>
      <c r="N155" s="11" t="n">
        <v>0</v>
      </c>
      <c r="O155" s="11" t="n">
        <v>5</v>
      </c>
      <c r="P155" t="inlineStr">
        <is>
          <t>FILTER</t>
        </is>
      </c>
      <c r="Q155" t="inlineStr"/>
      <c r="R155" t="inlineStr"/>
      <c r="S155" t="inlineStr"/>
    </row>
    <row r="156">
      <c r="A156" t="inlineStr">
        <is>
          <t>Dev</t>
        </is>
      </c>
      <c r="B156" s="29" t="inlineStr">
        <is>
          <t>FILTER-13716</t>
        </is>
      </c>
      <c r="C156" s="21" t="inlineStr">
        <is>
          <t>DEV - Support Tool &gt;&gt; Custom list UI. Audit logs issues</t>
        </is>
      </c>
      <c r="D156" t="inlineStr">
        <is>
          <t>FILTER-13715</t>
        </is>
      </c>
      <c r="E156" t="inlineStr">
        <is>
          <t>Escape Defect</t>
        </is>
      </c>
      <c r="F156" t="inlineStr">
        <is>
          <t>Prateek Fotedar</t>
        </is>
      </c>
      <c r="G156" t="inlineStr">
        <is>
          <t>Code Review</t>
        </is>
      </c>
      <c r="H156" t="inlineStr"/>
      <c r="I156" t="inlineStr">
        <is>
          <t>P3</t>
        </is>
      </c>
      <c r="J156" s="30" t="n">
        <v>46134</v>
      </c>
      <c r="L156" s="30" t="n">
        <v>46135</v>
      </c>
      <c r="M156" t="inlineStr">
        <is>
          <t>sprint-Hanna</t>
        </is>
      </c>
      <c r="N156" s="11" t="n">
        <v>0</v>
      </c>
      <c r="O156" s="11" t="n">
        <v>3</v>
      </c>
      <c r="P156" t="inlineStr">
        <is>
          <t>FILTER</t>
        </is>
      </c>
      <c r="Q156" t="inlineStr"/>
      <c r="R156" t="inlineStr"/>
      <c r="S156" t="inlineStr"/>
    </row>
    <row r="157">
      <c r="A157" t="inlineStr">
        <is>
          <t>Dev</t>
        </is>
      </c>
      <c r="B157" s="29" t="inlineStr">
        <is>
          <t>FILTER-12038</t>
        </is>
      </c>
      <c r="C157" s="21" t="inlineStr">
        <is>
          <t>Chrome extension bypass via bookmark + stopping request before block page loads</t>
        </is>
      </c>
      <c r="D157" t="inlineStr">
        <is>
          <t>FILTER-12010</t>
        </is>
      </c>
      <c r="E157" t="inlineStr">
        <is>
          <t>Escape Defect</t>
        </is>
      </c>
      <c r="F157" t="inlineStr">
        <is>
          <t>Pratik Tiwari</t>
        </is>
      </c>
      <c r="G157" t="inlineStr">
        <is>
          <t>Done</t>
        </is>
      </c>
      <c r="H157" t="inlineStr"/>
      <c r="I157" t="inlineStr">
        <is>
          <t>P1</t>
        </is>
      </c>
      <c r="J157" s="30" t="n">
        <v>46065</v>
      </c>
      <c r="L157" s="30" t="n">
        <v>46126</v>
      </c>
      <c r="M157" t="inlineStr">
        <is>
          <t>sprint-Hanna</t>
        </is>
      </c>
      <c r="N157" s="11" t="n">
        <v>18</v>
      </c>
      <c r="O157" s="11" t="n">
        <v>18</v>
      </c>
      <c r="P157" t="inlineStr">
        <is>
          <t>FILTER</t>
        </is>
      </c>
      <c r="Q157" t="inlineStr"/>
      <c r="R157" t="inlineStr"/>
      <c r="S157" t="inlineStr"/>
    </row>
    <row r="158">
      <c r="A158" t="inlineStr">
        <is>
          <t>Dev</t>
        </is>
      </c>
      <c r="B158" s="29" t="inlineStr">
        <is>
          <t>FILTER-12418</t>
        </is>
      </c>
      <c r="C158" s="21" t="inlineStr">
        <is>
          <t>Dev task for Analysis and Fix - P1 Escalation-File downloading in Image Google Search</t>
        </is>
      </c>
      <c r="D158" t="inlineStr">
        <is>
          <t>FILTER-7666</t>
        </is>
      </c>
      <c r="E158" t="inlineStr">
        <is>
          <t>Escape Defect</t>
        </is>
      </c>
      <c r="F158" t="inlineStr">
        <is>
          <t>Pratik Tiwari</t>
        </is>
      </c>
      <c r="G158" t="inlineStr">
        <is>
          <t>Done</t>
        </is>
      </c>
      <c r="H158" t="inlineStr"/>
      <c r="I158" t="inlineStr">
        <is>
          <t>P1</t>
        </is>
      </c>
      <c r="J158" s="30" t="n">
        <v>46093</v>
      </c>
      <c r="L158" s="30" t="n">
        <v>46126</v>
      </c>
      <c r="M158" t="inlineStr">
        <is>
          <t>sprint-Hanna</t>
        </is>
      </c>
      <c r="N158" s="11" t="n">
        <v>16</v>
      </c>
      <c r="O158" s="11" t="n">
        <v>16</v>
      </c>
      <c r="P158" t="inlineStr">
        <is>
          <t>FILTER</t>
        </is>
      </c>
      <c r="Q158" t="inlineStr"/>
      <c r="R158" t="inlineStr"/>
      <c r="S158" t="inlineStr"/>
    </row>
    <row r="159">
      <c r="A159" t="inlineStr">
        <is>
          <t>Dev</t>
        </is>
      </c>
      <c r="B159" s="29" t="inlineStr">
        <is>
          <t>FILTER-12456</t>
        </is>
      </c>
      <c r="C159" s="21" t="inlineStr">
        <is>
          <t>DEV - Filter bypass by taping on a link from Google Search - Crxtn</t>
        </is>
      </c>
      <c r="D159" t="inlineStr">
        <is>
          <t>FILTER-12455</t>
        </is>
      </c>
      <c r="E159" t="inlineStr">
        <is>
          <t>Escape Defect</t>
        </is>
      </c>
      <c r="F159" t="inlineStr">
        <is>
          <t>Pratik Tiwari</t>
        </is>
      </c>
      <c r="G159" t="inlineStr">
        <is>
          <t>Done</t>
        </is>
      </c>
      <c r="H159" t="inlineStr"/>
      <c r="I159" t="inlineStr">
        <is>
          <t>P1</t>
        </is>
      </c>
      <c r="J159" s="30" t="n">
        <v>46093</v>
      </c>
      <c r="L159" s="30" t="n">
        <v>46126</v>
      </c>
      <c r="M159" t="inlineStr">
        <is>
          <t>sprint-Hanna</t>
        </is>
      </c>
      <c r="N159" s="11" t="n">
        <v>16</v>
      </c>
      <c r="O159" s="11" t="n">
        <v>16</v>
      </c>
      <c r="P159" t="inlineStr">
        <is>
          <t>FILTER</t>
        </is>
      </c>
      <c r="Q159" t="inlineStr"/>
      <c r="R159" t="inlineStr"/>
      <c r="S159" t="inlineStr"/>
    </row>
    <row r="160">
      <c r="A160" t="inlineStr">
        <is>
          <t>Dev</t>
        </is>
      </c>
      <c r="B160" s="29" t="inlineStr">
        <is>
          <t>FILTER-12540</t>
        </is>
      </c>
      <c r="C160" s="21" t="inlineStr">
        <is>
          <t>DEV -Extension Bypass - Opening new tab</t>
        </is>
      </c>
      <c r="D160" t="inlineStr">
        <is>
          <t>FILTER-12476</t>
        </is>
      </c>
      <c r="E160" t="inlineStr">
        <is>
          <t>Escape Defect</t>
        </is>
      </c>
      <c r="F160" t="inlineStr">
        <is>
          <t>Pratik Tiwari</t>
        </is>
      </c>
      <c r="G160" t="inlineStr">
        <is>
          <t>Done</t>
        </is>
      </c>
      <c r="H160" t="inlineStr"/>
      <c r="I160" t="inlineStr">
        <is>
          <t>P1</t>
        </is>
      </c>
      <c r="J160" s="30" t="n">
        <v>46098</v>
      </c>
      <c r="L160" s="30" t="n">
        <v>46140</v>
      </c>
      <c r="M160" t="inlineStr">
        <is>
          <t>sprint-Hanna</t>
        </is>
      </c>
      <c r="N160" s="11" t="n">
        <v>12</v>
      </c>
      <c r="O160" s="11" t="n">
        <v>12</v>
      </c>
      <c r="P160" t="inlineStr">
        <is>
          <t>FILTER</t>
        </is>
      </c>
      <c r="Q160" t="inlineStr"/>
      <c r="R160" t="inlineStr"/>
      <c r="S160" t="inlineStr"/>
    </row>
    <row r="161">
      <c r="A161" t="inlineStr">
        <is>
          <t>Dev</t>
        </is>
      </c>
      <c r="B161" s="29" t="inlineStr">
        <is>
          <t>FILTER-12793</t>
        </is>
      </c>
      <c r="C161" s="21" t="inlineStr">
        <is>
          <t xml:space="preserve">[TS] DEV - Chrome Extension : Log in page is not shown </t>
        </is>
      </c>
      <c r="D161" t="inlineStr">
        <is>
          <t>FILTER-12792</t>
        </is>
      </c>
      <c r="E161" t="inlineStr">
        <is>
          <t>Defect</t>
        </is>
      </c>
      <c r="F161" t="inlineStr">
        <is>
          <t>Pratik Tiwari</t>
        </is>
      </c>
      <c r="G161" t="inlineStr">
        <is>
          <t>Done</t>
        </is>
      </c>
      <c r="H161" t="inlineStr"/>
      <c r="I161" t="inlineStr">
        <is>
          <t>P1</t>
        </is>
      </c>
      <c r="J161" s="30" t="n">
        <v>46108</v>
      </c>
      <c r="L161" s="30" t="n">
        <v>46126</v>
      </c>
      <c r="M161" t="inlineStr">
        <is>
          <t>sprint-Hanna</t>
        </is>
      </c>
      <c r="N161" s="11" t="n">
        <v>7</v>
      </c>
      <c r="O161" s="11" t="n">
        <v>5</v>
      </c>
      <c r="P161" t="inlineStr">
        <is>
          <t>FILTER</t>
        </is>
      </c>
      <c r="Q161" t="inlineStr"/>
      <c r="R161" t="inlineStr"/>
      <c r="S161" t="inlineStr"/>
    </row>
    <row r="162">
      <c r="A162" t="inlineStr">
        <is>
          <t>Dev</t>
        </is>
      </c>
      <c r="B162" s="29" t="inlineStr">
        <is>
          <t>FILTER-12821</t>
        </is>
      </c>
      <c r="C162" s="21" t="inlineStr">
        <is>
          <t>DEV - Windows Extn : TS - Safe search is not getting applied immediately on google search engine(Ensure that api response shows  SS enabled)</t>
        </is>
      </c>
      <c r="D162" t="inlineStr">
        <is>
          <t>FILTER-12820</t>
        </is>
      </c>
      <c r="E162" t="inlineStr">
        <is>
          <t>Defect</t>
        </is>
      </c>
      <c r="F162" t="inlineStr">
        <is>
          <t>Pratik Tiwari</t>
        </is>
      </c>
      <c r="G162" t="inlineStr">
        <is>
          <t>Code Review</t>
        </is>
      </c>
      <c r="H162" t="inlineStr"/>
      <c r="I162" t="inlineStr">
        <is>
          <t>P2</t>
        </is>
      </c>
      <c r="J162" s="30" t="n">
        <v>46108</v>
      </c>
      <c r="L162" s="30" t="n">
        <v>46126</v>
      </c>
      <c r="M162" t="inlineStr">
        <is>
          <t>sprint-Hanna</t>
        </is>
      </c>
      <c r="N162" s="11" t="n">
        <v>0</v>
      </c>
      <c r="O162" s="11" t="n">
        <v>6</v>
      </c>
      <c r="P162" t="inlineStr">
        <is>
          <t>FILTER</t>
        </is>
      </c>
      <c r="Q162" t="inlineStr"/>
      <c r="R162" t="inlineStr"/>
      <c r="S162" t="inlineStr"/>
    </row>
    <row r="163">
      <c r="A163" t="inlineStr">
        <is>
          <t>Dev</t>
        </is>
      </c>
      <c r="B163" s="29" t="inlineStr">
        <is>
          <t>FILTER-13106</t>
        </is>
      </c>
      <c r="C163" s="21" t="inlineStr">
        <is>
          <t xml:space="preserve">DEV - Looking for solution for HTML Editor vulnerabilities </t>
        </is>
      </c>
      <c r="D163" t="inlineStr">
        <is>
          <t>FILTER-13105</t>
        </is>
      </c>
      <c r="E163" t="inlineStr">
        <is>
          <t>Escape Defect</t>
        </is>
      </c>
      <c r="F163" t="inlineStr">
        <is>
          <t>Pratik Tiwari</t>
        </is>
      </c>
      <c r="G163" t="inlineStr">
        <is>
          <t>Done</t>
        </is>
      </c>
      <c r="H163" t="inlineStr"/>
      <c r="I163" t="inlineStr">
        <is>
          <t>P1</t>
        </is>
      </c>
      <c r="J163" s="30" t="n">
        <v>46114</v>
      </c>
      <c r="L163" s="30" t="n">
        <v>46136</v>
      </c>
      <c r="M163" t="inlineStr">
        <is>
          <t>sprint-Hanna</t>
        </is>
      </c>
      <c r="N163" s="11" t="n">
        <v>12</v>
      </c>
      <c r="O163" s="11" t="n">
        <v>12</v>
      </c>
      <c r="P163" t="inlineStr">
        <is>
          <t>FILTER</t>
        </is>
      </c>
      <c r="Q163" t="inlineStr"/>
      <c r="R163" t="inlineStr"/>
      <c r="S163" t="inlineStr"/>
    </row>
    <row r="164">
      <c r="A164" t="inlineStr">
        <is>
          <t>Dev</t>
        </is>
      </c>
      <c r="B164" s="29" t="inlineStr">
        <is>
          <t>FILTER-12144</t>
        </is>
      </c>
      <c r="C164" s="21" t="inlineStr">
        <is>
          <t>[sprox] Check requirement of populating msg wth NULL in processSocialMediaMsg</t>
        </is>
      </c>
      <c r="D164" t="inlineStr">
        <is>
          <t>FILTER-12143</t>
        </is>
      </c>
      <c r="E164" t="inlineStr">
        <is>
          <t>Task</t>
        </is>
      </c>
      <c r="F164" t="inlineStr">
        <is>
          <t>Ravi Raj</t>
        </is>
      </c>
      <c r="G164" t="inlineStr">
        <is>
          <t>Closed without action</t>
        </is>
      </c>
      <c r="H164" t="inlineStr"/>
      <c r="I164" t="inlineStr">
        <is>
          <t>P3</t>
        </is>
      </c>
      <c r="J164" s="30" t="n">
        <v>46076</v>
      </c>
      <c r="L164" s="30" t="n">
        <v>46139</v>
      </c>
      <c r="M164" t="inlineStr">
        <is>
          <t>sprint-Hanna</t>
        </is>
      </c>
      <c r="N164" s="11" t="n">
        <v>4</v>
      </c>
      <c r="O164" s="11" t="n">
        <v>6</v>
      </c>
      <c r="P164" t="inlineStr">
        <is>
          <t>FILTER</t>
        </is>
      </c>
      <c r="Q164" t="inlineStr"/>
      <c r="R164" t="inlineStr"/>
      <c r="S164" t="inlineStr"/>
    </row>
    <row r="165">
      <c r="A165" t="inlineStr">
        <is>
          <t>Dev</t>
        </is>
      </c>
      <c r="B165" s="29" t="inlineStr">
        <is>
          <t>FILTER-13443</t>
        </is>
      </c>
      <c r="C165" s="21" t="inlineStr">
        <is>
          <t>DEV - SPROX: suicide.org throws Bad Request error</t>
        </is>
      </c>
      <c r="D165" t="inlineStr">
        <is>
          <t>FILTER-13442</t>
        </is>
      </c>
      <c r="E165" t="inlineStr">
        <is>
          <t>Defect</t>
        </is>
      </c>
      <c r="F165" t="inlineStr">
        <is>
          <t>Ravi Raj</t>
        </is>
      </c>
      <c r="G165" t="inlineStr">
        <is>
          <t>Done</t>
        </is>
      </c>
      <c r="H165" t="inlineStr"/>
      <c r="I165" t="inlineStr">
        <is>
          <t>P1</t>
        </is>
      </c>
      <c r="J165" s="30" t="n">
        <v>46122</v>
      </c>
      <c r="L165" s="30" t="n">
        <v>46126</v>
      </c>
      <c r="M165" t="inlineStr">
        <is>
          <t>sprint-Hanna</t>
        </is>
      </c>
      <c r="N165" s="11" t="n">
        <v>4</v>
      </c>
      <c r="O165" s="11" t="n">
        <v>4</v>
      </c>
      <c r="P165" t="inlineStr">
        <is>
          <t>FILTER</t>
        </is>
      </c>
      <c r="Q165" t="inlineStr"/>
      <c r="R165" t="inlineStr"/>
      <c r="S165" t="inlineStr"/>
    </row>
    <row r="166">
      <c r="A166" t="inlineStr">
        <is>
          <t>Dev</t>
        </is>
      </c>
      <c r="B166" s="29" t="inlineStr">
        <is>
          <t>FILTER-13483</t>
        </is>
      </c>
      <c r="C166" s="21" t="inlineStr">
        <is>
          <t>DEV - SPROX: baidu.com suspicious searches are not logged</t>
        </is>
      </c>
      <c r="D166" t="inlineStr">
        <is>
          <t>FILTER-13482</t>
        </is>
      </c>
      <c r="E166" t="inlineStr">
        <is>
          <t>Defect</t>
        </is>
      </c>
      <c r="F166" t="inlineStr">
        <is>
          <t>Ravi Raj</t>
        </is>
      </c>
      <c r="G166" t="inlineStr">
        <is>
          <t>Done</t>
        </is>
      </c>
      <c r="H166" t="inlineStr"/>
      <c r="I166" t="inlineStr">
        <is>
          <t>P1</t>
        </is>
      </c>
      <c r="J166" s="30" t="n">
        <v>46123</v>
      </c>
      <c r="L166" s="30" t="n">
        <v>46128</v>
      </c>
      <c r="M166" t="inlineStr">
        <is>
          <t>sprint-Hanna</t>
        </is>
      </c>
      <c r="N166" s="11" t="n">
        <v>2</v>
      </c>
      <c r="O166" s="11" t="n">
        <v>2</v>
      </c>
      <c r="P166" t="inlineStr">
        <is>
          <t>FILTER</t>
        </is>
      </c>
      <c r="Q166" t="inlineStr"/>
      <c r="R166" t="inlineStr"/>
      <c r="S166" t="inlineStr"/>
    </row>
    <row r="167">
      <c r="A167" t="inlineStr">
        <is>
          <t>Dev</t>
        </is>
      </c>
      <c r="B167" s="29" t="inlineStr">
        <is>
          <t>FILTER-13487</t>
        </is>
      </c>
      <c r="C167" s="21" t="inlineStr">
        <is>
          <t>DEV - SPROX: wikipedia searches are not logged when search is made from bookmark</t>
        </is>
      </c>
      <c r="D167" t="inlineStr">
        <is>
          <t>FILTER-13486</t>
        </is>
      </c>
      <c r="E167" t="inlineStr">
        <is>
          <t>Defect</t>
        </is>
      </c>
      <c r="F167" t="inlineStr">
        <is>
          <t>Ravi Raj</t>
        </is>
      </c>
      <c r="G167" t="inlineStr">
        <is>
          <t>Done</t>
        </is>
      </c>
      <c r="H167" t="inlineStr"/>
      <c r="I167" t="inlineStr">
        <is>
          <t>P2</t>
        </is>
      </c>
      <c r="J167" s="30" t="n">
        <v>46123</v>
      </c>
      <c r="L167" s="30" t="n">
        <v>46126</v>
      </c>
      <c r="M167" t="inlineStr">
        <is>
          <t>sprint-Hanna</t>
        </is>
      </c>
      <c r="N167" s="11" t="n">
        <v>2</v>
      </c>
      <c r="O167" s="11" t="n">
        <v>2</v>
      </c>
      <c r="P167" t="inlineStr">
        <is>
          <t>FILTER</t>
        </is>
      </c>
      <c r="Q167" t="inlineStr"/>
      <c r="R167" t="inlineStr"/>
      <c r="S167" t="inlineStr"/>
    </row>
    <row r="168">
      <c r="A168" t="inlineStr">
        <is>
          <t>Dev</t>
        </is>
      </c>
      <c r="B168" s="29" t="inlineStr">
        <is>
          <t>FILTER-13491</t>
        </is>
      </c>
      <c r="C168" s="21" t="inlineStr">
        <is>
          <t>DEV - SPROX: ask.com suspicious &amp; allowed searches are not logged</t>
        </is>
      </c>
      <c r="D168" t="inlineStr">
        <is>
          <t>FILTER-13490</t>
        </is>
      </c>
      <c r="E168" t="inlineStr">
        <is>
          <t>Defect</t>
        </is>
      </c>
      <c r="F168" t="inlineStr">
        <is>
          <t>Ravi Raj</t>
        </is>
      </c>
      <c r="G168" t="inlineStr">
        <is>
          <t>Done</t>
        </is>
      </c>
      <c r="H168" t="inlineStr"/>
      <c r="I168" t="inlineStr">
        <is>
          <t>P1</t>
        </is>
      </c>
      <c r="J168" s="30" t="n">
        <v>46123</v>
      </c>
      <c r="L168" s="30" t="n">
        <v>46128</v>
      </c>
      <c r="M168" t="inlineStr">
        <is>
          <t>sprint-Hanna</t>
        </is>
      </c>
      <c r="N168" s="11" t="n">
        <v>2</v>
      </c>
      <c r="O168" s="11" t="n">
        <v>2</v>
      </c>
      <c r="P168" t="inlineStr">
        <is>
          <t>FILTER</t>
        </is>
      </c>
      <c r="Q168" t="inlineStr"/>
      <c r="R168" t="inlineStr"/>
      <c r="S168" t="inlineStr"/>
    </row>
    <row r="169">
      <c r="A169" t="inlineStr">
        <is>
          <t>Dev</t>
        </is>
      </c>
      <c r="B169" s="29" t="inlineStr">
        <is>
          <t>FILTER-13519</t>
        </is>
      </c>
      <c r="C169" s="21" t="inlineStr">
        <is>
          <t>DEV - SPROX: Search engines do not get blocked when category is Other Search Engine</t>
        </is>
      </c>
      <c r="D169" t="inlineStr">
        <is>
          <t>FILTER-13518</t>
        </is>
      </c>
      <c r="E169" t="inlineStr">
        <is>
          <t>Defect</t>
        </is>
      </c>
      <c r="F169" t="inlineStr">
        <is>
          <t>Ravi Raj</t>
        </is>
      </c>
      <c r="G169" t="inlineStr">
        <is>
          <t>Done</t>
        </is>
      </c>
      <c r="H169" t="inlineStr"/>
      <c r="I169" t="inlineStr">
        <is>
          <t>P1</t>
        </is>
      </c>
      <c r="J169" s="30" t="n">
        <v>46126</v>
      </c>
      <c r="L169" s="30" t="n">
        <v>46129</v>
      </c>
      <c r="M169" t="inlineStr">
        <is>
          <t>sprint-Hanna</t>
        </is>
      </c>
      <c r="N169" s="11" t="n">
        <v>2</v>
      </c>
      <c r="O169" s="11" t="n">
        <v>2</v>
      </c>
      <c r="P169" t="inlineStr">
        <is>
          <t>FILTER</t>
        </is>
      </c>
      <c r="Q169" t="inlineStr"/>
      <c r="R169" t="inlineStr"/>
      <c r="S169" t="inlineStr"/>
    </row>
    <row r="170">
      <c r="A170" t="inlineStr">
        <is>
          <t>Dev</t>
        </is>
      </c>
      <c r="B170" s="29" t="inlineStr">
        <is>
          <t>FILTER-13527</t>
        </is>
      </c>
      <c r="C170" s="21" t="inlineStr">
        <is>
          <t>DEV - SPROX: YT keyword block is not getting logged</t>
        </is>
      </c>
      <c r="D170" t="inlineStr">
        <is>
          <t>FILTER-13526</t>
        </is>
      </c>
      <c r="E170" t="inlineStr">
        <is>
          <t>Defect</t>
        </is>
      </c>
      <c r="F170" t="inlineStr">
        <is>
          <t>Ravi Raj</t>
        </is>
      </c>
      <c r="G170" t="inlineStr">
        <is>
          <t>Done</t>
        </is>
      </c>
      <c r="H170" t="inlineStr"/>
      <c r="I170" t="inlineStr">
        <is>
          <t>P1</t>
        </is>
      </c>
      <c r="J170" s="30" t="n">
        <v>46126</v>
      </c>
      <c r="L170" s="30" t="n">
        <v>46139</v>
      </c>
      <c r="M170" t="inlineStr">
        <is>
          <t>sprint-Hanna</t>
        </is>
      </c>
      <c r="N170" s="11" t="n">
        <v>4</v>
      </c>
      <c r="O170" s="11" t="n">
        <v>4</v>
      </c>
      <c r="P170" t="inlineStr">
        <is>
          <t>FILTER</t>
        </is>
      </c>
      <c r="Q170" t="inlineStr"/>
      <c r="R170" t="inlineStr"/>
      <c r="S170" t="inlineStr"/>
    </row>
    <row r="171">
      <c r="A171" t="inlineStr">
        <is>
          <t>Dev</t>
        </is>
      </c>
      <c r="B171" s="29" t="inlineStr">
        <is>
          <t>FILTER-13551</t>
        </is>
      </c>
      <c r="C171" s="21" t="inlineStr">
        <is>
          <t>Dev - SPROX - Changes to Onboard Beta FIDs</t>
        </is>
      </c>
      <c r="D171" t="inlineStr">
        <is>
          <t>FILTER-13550</t>
        </is>
      </c>
      <c r="E171" t="inlineStr">
        <is>
          <t>Story</t>
        </is>
      </c>
      <c r="F171" t="inlineStr">
        <is>
          <t>Ravi Raj</t>
        </is>
      </c>
      <c r="G171" t="inlineStr">
        <is>
          <t>Done</t>
        </is>
      </c>
      <c r="H171" t="inlineStr"/>
      <c r="I171" t="inlineStr">
        <is>
          <t>P1</t>
        </is>
      </c>
      <c r="J171" s="30" t="n">
        <v>46127</v>
      </c>
      <c r="L171" s="30" t="n">
        <v>46131</v>
      </c>
      <c r="M171" t="inlineStr">
        <is>
          <t>sprint-Hanna</t>
        </is>
      </c>
      <c r="N171" s="11" t="n">
        <v>16</v>
      </c>
      <c r="O171" s="11" t="n">
        <v>16</v>
      </c>
      <c r="P171" t="inlineStr">
        <is>
          <t>FILTER</t>
        </is>
      </c>
      <c r="Q171" t="inlineStr"/>
      <c r="R171" t="inlineStr"/>
      <c r="S171" t="inlineStr"/>
    </row>
    <row r="172">
      <c r="A172" t="inlineStr">
        <is>
          <t>Dev</t>
        </is>
      </c>
      <c r="B172" s="29" t="inlineStr">
        <is>
          <t>FILTER-13558</t>
        </is>
      </c>
      <c r="C172" s="21" t="inlineStr">
        <is>
          <t>DEV - SPROX: GO DNS. Suspicious and allowed searches on any search engine is not getting logged</t>
        </is>
      </c>
      <c r="D172" t="inlineStr">
        <is>
          <t>FILTER-13556</t>
        </is>
      </c>
      <c r="E172" t="inlineStr">
        <is>
          <t>Defect</t>
        </is>
      </c>
      <c r="F172" t="inlineStr">
        <is>
          <t>Ravi Raj</t>
        </is>
      </c>
      <c r="G172" t="inlineStr">
        <is>
          <t>Closed without action</t>
        </is>
      </c>
      <c r="H172" t="inlineStr"/>
      <c r="I172" t="inlineStr">
        <is>
          <t>P1</t>
        </is>
      </c>
      <c r="J172" s="30" t="n">
        <v>46127</v>
      </c>
      <c r="L172" s="30" t="n">
        <v>46135</v>
      </c>
      <c r="M172" t="inlineStr">
        <is>
          <t>sprint-Hanna</t>
        </is>
      </c>
      <c r="N172" s="11" t="n">
        <v>0</v>
      </c>
      <c r="O172" s="11" t="n">
        <v>0</v>
      </c>
      <c r="P172" t="inlineStr">
        <is>
          <t>FILTER</t>
        </is>
      </c>
      <c r="Q172" t="inlineStr"/>
      <c r="R172" t="inlineStr"/>
      <c r="S172" t="inlineStr"/>
    </row>
    <row r="173">
      <c r="A173" t="inlineStr">
        <is>
          <t>Dev</t>
        </is>
      </c>
      <c r="B173" s="29" t="inlineStr">
        <is>
          <t>FILTER-13564</t>
        </is>
      </c>
      <c r="C173" s="21" t="inlineStr">
        <is>
          <t>DEV - SPROX: GO DNS. YouTube video logging is not happening</t>
        </is>
      </c>
      <c r="D173" t="inlineStr">
        <is>
          <t>FILTER-13562</t>
        </is>
      </c>
      <c r="E173" t="inlineStr">
        <is>
          <t>Defect</t>
        </is>
      </c>
      <c r="F173" t="inlineStr">
        <is>
          <t>Ravi Raj</t>
        </is>
      </c>
      <c r="G173" t="inlineStr">
        <is>
          <t>Done</t>
        </is>
      </c>
      <c r="H173" t="inlineStr"/>
      <c r="I173" t="inlineStr">
        <is>
          <t>P1</t>
        </is>
      </c>
      <c r="J173" s="30" t="n">
        <v>46127</v>
      </c>
      <c r="L173" s="30" t="n">
        <v>46136</v>
      </c>
      <c r="M173" t="inlineStr">
        <is>
          <t>sprint-Hanna</t>
        </is>
      </c>
      <c r="N173" s="11" t="n">
        <v>4</v>
      </c>
      <c r="O173" s="11" t="n">
        <v>4</v>
      </c>
      <c r="P173" t="inlineStr">
        <is>
          <t>FILTER</t>
        </is>
      </c>
      <c r="Q173" t="inlineStr"/>
      <c r="R173" t="inlineStr"/>
      <c r="S173" t="inlineStr"/>
    </row>
    <row r="174">
      <c r="A174" t="inlineStr">
        <is>
          <t>Dev</t>
        </is>
      </c>
      <c r="B174" s="29" t="inlineStr">
        <is>
          <t>FILTER-13588</t>
        </is>
      </c>
      <c r="C174" s="21" t="inlineStr">
        <is>
          <t>DEV - SPROX: GO DNS.Force Logins OFF. New categories are not getting blocked</t>
        </is>
      </c>
      <c r="D174" t="inlineStr">
        <is>
          <t>FILTER-13587</t>
        </is>
      </c>
      <c r="E174" t="inlineStr">
        <is>
          <t>Defect</t>
        </is>
      </c>
      <c r="F174" t="inlineStr">
        <is>
          <t>Ravi Raj</t>
        </is>
      </c>
      <c r="G174" t="inlineStr">
        <is>
          <t>Done</t>
        </is>
      </c>
      <c r="H174" t="inlineStr"/>
      <c r="I174" t="inlineStr">
        <is>
          <t>P2</t>
        </is>
      </c>
      <c r="J174" s="30" t="n">
        <v>46128</v>
      </c>
      <c r="L174" s="30" t="n">
        <v>46136</v>
      </c>
      <c r="M174" t="inlineStr">
        <is>
          <t>sprint-Hanna</t>
        </is>
      </c>
      <c r="N174" s="11" t="n">
        <v>2</v>
      </c>
      <c r="O174" s="11" t="n">
        <v>2</v>
      </c>
      <c r="P174" t="inlineStr">
        <is>
          <t>FILTER</t>
        </is>
      </c>
      <c r="Q174" t="inlineStr"/>
      <c r="R174" t="inlineStr"/>
      <c r="S174" t="inlineStr"/>
    </row>
    <row r="175">
      <c r="A175" t="inlineStr">
        <is>
          <t>Dev</t>
        </is>
      </c>
      <c r="B175" s="29" t="inlineStr">
        <is>
          <t>FILTER-13602</t>
        </is>
      </c>
      <c r="C175" s="21" t="inlineStr">
        <is>
          <t>DEV - SPROX: GO DNS. Search terms not getting blocked on google.com</t>
        </is>
      </c>
      <c r="D175" t="inlineStr">
        <is>
          <t>FILTER-13601</t>
        </is>
      </c>
      <c r="E175" t="inlineStr">
        <is>
          <t>Defect</t>
        </is>
      </c>
      <c r="F175" t="inlineStr">
        <is>
          <t>Ravi Raj</t>
        </is>
      </c>
      <c r="G175" t="inlineStr">
        <is>
          <t>Closed without action</t>
        </is>
      </c>
      <c r="H175" t="inlineStr"/>
      <c r="I175" t="inlineStr">
        <is>
          <t>P1</t>
        </is>
      </c>
      <c r="J175" s="30" t="n">
        <v>46128</v>
      </c>
      <c r="L175" s="30" t="n">
        <v>46135</v>
      </c>
      <c r="M175" t="inlineStr">
        <is>
          <t>sprint-Hanna</t>
        </is>
      </c>
      <c r="N175" s="11" t="n">
        <v>0</v>
      </c>
      <c r="O175" s="11" t="n">
        <v>0</v>
      </c>
      <c r="P175" t="inlineStr">
        <is>
          <t>FILTER</t>
        </is>
      </c>
      <c r="Q175" t="inlineStr"/>
      <c r="R175" t="inlineStr"/>
      <c r="S175" t="inlineStr"/>
    </row>
    <row r="176">
      <c r="A176" t="inlineStr">
        <is>
          <t>Dev</t>
        </is>
      </c>
      <c r="B176" s="29" t="inlineStr">
        <is>
          <t>FILTER-13636</t>
        </is>
      </c>
      <c r="C176" s="21" t="inlineStr">
        <is>
          <t>DEV - SPROX &amp; Squid: GO SPAC/DNS. Custom group policy is not applied</t>
        </is>
      </c>
      <c r="D176" t="inlineStr">
        <is>
          <t>FILTER-13635</t>
        </is>
      </c>
      <c r="E176" t="inlineStr">
        <is>
          <t>Defect</t>
        </is>
      </c>
      <c r="F176" t="inlineStr">
        <is>
          <t>Ravi Raj</t>
        </is>
      </c>
      <c r="G176" t="inlineStr">
        <is>
          <t>Closed without action</t>
        </is>
      </c>
      <c r="H176" t="inlineStr"/>
      <c r="I176" t="inlineStr">
        <is>
          <t>P1</t>
        </is>
      </c>
      <c r="J176" s="30" t="n">
        <v>46129</v>
      </c>
      <c r="L176" s="30" t="n">
        <v>46132</v>
      </c>
      <c r="M176" t="inlineStr">
        <is>
          <t>sprint-Hanna</t>
        </is>
      </c>
      <c r="N176" s="11" t="n">
        <v>0</v>
      </c>
      <c r="O176" s="11" t="n">
        <v>0</v>
      </c>
      <c r="P176" t="inlineStr">
        <is>
          <t>FILTER</t>
        </is>
      </c>
      <c r="Q176" t="inlineStr"/>
      <c r="R176" t="inlineStr"/>
      <c r="S176" t="inlineStr"/>
    </row>
    <row r="177">
      <c r="A177" t="inlineStr">
        <is>
          <t>Dev</t>
        </is>
      </c>
      <c r="B177" s="29" t="inlineStr">
        <is>
          <t>FILTER-13760</t>
        </is>
      </c>
      <c r="C177" s="21" t="inlineStr">
        <is>
          <t>DEV - Home SPROX: Pause is not getting applied for a kid with SPROX enabled</t>
        </is>
      </c>
      <c r="D177" t="inlineStr">
        <is>
          <t>FILTER-13759</t>
        </is>
      </c>
      <c r="E177" t="inlineStr">
        <is>
          <t>Defect</t>
        </is>
      </c>
      <c r="F177" t="inlineStr">
        <is>
          <t>Ravi Raj</t>
        </is>
      </c>
      <c r="G177" t="inlineStr">
        <is>
          <t>Done</t>
        </is>
      </c>
      <c r="H177" t="inlineStr"/>
      <c r="I177" t="inlineStr">
        <is>
          <t>P1</t>
        </is>
      </c>
      <c r="J177" s="30" t="n">
        <v>46136</v>
      </c>
      <c r="L177" s="30" t="n">
        <v>46136</v>
      </c>
      <c r="M177" t="inlineStr">
        <is>
          <t>sprint-Hanna</t>
        </is>
      </c>
      <c r="N177" s="11" t="n">
        <v>8</v>
      </c>
      <c r="O177" s="11" t="n">
        <v>8</v>
      </c>
      <c r="P177" t="inlineStr">
        <is>
          <t>FILTER</t>
        </is>
      </c>
      <c r="Q177" t="inlineStr"/>
      <c r="R177" t="inlineStr"/>
      <c r="S177" t="inlineStr"/>
    </row>
    <row r="178">
      <c r="A178" t="inlineStr">
        <is>
          <t>Dev</t>
        </is>
      </c>
      <c r="B178" s="29" t="inlineStr">
        <is>
          <t>FILTER-12185</t>
        </is>
      </c>
      <c r="C178" s="21" t="inlineStr">
        <is>
          <t xml:space="preserve">Fix SSO access-token SameSite cookie and JWT secret for GO broker </t>
        </is>
      </c>
      <c r="D178" t="inlineStr">
        <is>
          <t>FILTER-12048</t>
        </is>
      </c>
      <c r="E178" t="inlineStr">
        <is>
          <t>Escape Defect</t>
        </is>
      </c>
      <c r="F178" t="inlineStr">
        <is>
          <t>Sagar Satpute</t>
        </is>
      </c>
      <c r="G178" t="inlineStr">
        <is>
          <t>Done</t>
        </is>
      </c>
      <c r="H178" t="inlineStr"/>
      <c r="I178" t="inlineStr">
        <is>
          <t>P2</t>
        </is>
      </c>
      <c r="J178" s="30" t="n">
        <v>46078</v>
      </c>
      <c r="L178" s="30" t="n">
        <v>46126</v>
      </c>
      <c r="M178" t="inlineStr">
        <is>
          <t>sprint-Hanna</t>
        </is>
      </c>
      <c r="N178" s="11" t="n">
        <v>13</v>
      </c>
      <c r="O178" s="11" t="n">
        <v>13</v>
      </c>
      <c r="P178" t="inlineStr">
        <is>
          <t>FILTER</t>
        </is>
      </c>
      <c r="Q178" t="inlineStr"/>
      <c r="R178" t="inlineStr"/>
      <c r="S178" t="inlineStr"/>
    </row>
    <row r="179">
      <c r="A179" t="inlineStr">
        <is>
          <t>Dev</t>
        </is>
      </c>
      <c r="B179" s="29" t="inlineStr">
        <is>
          <t>FILTER-12324</t>
        </is>
      </c>
      <c r="C179" s="21" t="inlineStr">
        <is>
          <t>DEV - BugCrowd-850af9c1-f86b-4c74-91ac-94ea808c8e9b-Deleted User to Continue Performing Privileged Actions (Account Deletion Bypass)</t>
        </is>
      </c>
      <c r="D179" t="inlineStr">
        <is>
          <t>FILTER-12323</t>
        </is>
      </c>
      <c r="E179" t="inlineStr">
        <is>
          <t>Defect</t>
        </is>
      </c>
      <c r="F179" t="inlineStr">
        <is>
          <t>Sagar Satpute</t>
        </is>
      </c>
      <c r="G179" t="inlineStr">
        <is>
          <t>Done</t>
        </is>
      </c>
      <c r="H179" t="inlineStr"/>
      <c r="I179" t="inlineStr">
        <is>
          <t>P3</t>
        </is>
      </c>
      <c r="J179" s="30" t="n">
        <v>46083</v>
      </c>
      <c r="L179" s="30" t="n">
        <v>46127</v>
      </c>
      <c r="M179" t="inlineStr">
        <is>
          <t>sprint-Hanna</t>
        </is>
      </c>
      <c r="N179" s="11" t="n">
        <v>13</v>
      </c>
      <c r="O179" s="11" t="n">
        <v>13</v>
      </c>
      <c r="P179" t="inlineStr">
        <is>
          <t>FILTER</t>
        </is>
      </c>
      <c r="Q179" t="inlineStr"/>
      <c r="R179" t="inlineStr"/>
      <c r="S179" t="inlineStr"/>
    </row>
    <row r="180">
      <c r="A180" t="inlineStr">
        <is>
          <t>Dev</t>
        </is>
      </c>
      <c r="B180" s="29" t="inlineStr">
        <is>
          <t>FILTER-13096</t>
        </is>
      </c>
      <c r="C180" s="21" t="inlineStr">
        <is>
          <t>DEV - On Support tool, if we turn on On-Call / Case manager setting along with Case Handled by as Both changes do not get saved</t>
        </is>
      </c>
      <c r="D180" t="inlineStr">
        <is>
          <t>FILTER-13095</t>
        </is>
      </c>
      <c r="E180" t="inlineStr">
        <is>
          <t>Escape Defect</t>
        </is>
      </c>
      <c r="F180" t="inlineStr">
        <is>
          <t>Sagar Satpute</t>
        </is>
      </c>
      <c r="G180" t="inlineStr">
        <is>
          <t>Done</t>
        </is>
      </c>
      <c r="H180" t="inlineStr"/>
      <c r="I180" t="inlineStr">
        <is>
          <t>P3</t>
        </is>
      </c>
      <c r="J180" s="30" t="n">
        <v>46114</v>
      </c>
      <c r="L180" s="30" t="n">
        <v>46134</v>
      </c>
      <c r="M180" t="inlineStr">
        <is>
          <t>sprint-Hanna</t>
        </is>
      </c>
      <c r="N180" s="11" t="n">
        <v>8</v>
      </c>
      <c r="O180" s="11" t="n">
        <v>8</v>
      </c>
      <c r="P180" t="inlineStr">
        <is>
          <t>FILTER</t>
        </is>
      </c>
      <c r="Q180" t="inlineStr"/>
      <c r="R180" t="inlineStr"/>
      <c r="S180" t="inlineStr"/>
    </row>
    <row r="181">
      <c r="A181" t="inlineStr">
        <is>
          <t>Dev</t>
        </is>
      </c>
      <c r="B181" s="29" t="inlineStr">
        <is>
          <t>FILTER-13400</t>
        </is>
      </c>
      <c r="C181" s="21" t="inlineStr">
        <is>
          <t>DEV - Safety Console &gt;&gt; Filter. Activities. Deleted Admin group user is able add activities to Allow/Block list</t>
        </is>
      </c>
      <c r="D181" t="inlineStr">
        <is>
          <t>FILTER-13399</t>
        </is>
      </c>
      <c r="E181" t="inlineStr">
        <is>
          <t>Defect</t>
        </is>
      </c>
      <c r="F181" t="inlineStr">
        <is>
          <t>Sagar Satpute</t>
        </is>
      </c>
      <c r="G181" t="inlineStr">
        <is>
          <t>Closed without action</t>
        </is>
      </c>
      <c r="H181" t="inlineStr"/>
      <c r="I181" t="inlineStr">
        <is>
          <t>P2</t>
        </is>
      </c>
      <c r="J181" s="30" t="n">
        <v>46121</v>
      </c>
      <c r="L181" s="30" t="n">
        <v>46128</v>
      </c>
      <c r="M181" t="inlineStr">
        <is>
          <t>sprint-Hanna</t>
        </is>
      </c>
      <c r="N181" s="11" t="n">
        <v>2</v>
      </c>
      <c r="O181" s="11" t="n">
        <v>2</v>
      </c>
      <c r="P181" t="inlineStr">
        <is>
          <t>FILTER</t>
        </is>
      </c>
      <c r="Q181" t="inlineStr"/>
      <c r="R181" t="inlineStr"/>
      <c r="S181" t="inlineStr"/>
    </row>
    <row r="182">
      <c r="A182" t="inlineStr">
        <is>
          <t>Dev</t>
        </is>
      </c>
      <c r="B182" s="29" t="inlineStr">
        <is>
          <t>FILTER-13504</t>
        </is>
      </c>
      <c r="C182" s="21" t="inlineStr">
        <is>
          <t>DEV - CLONE - SPROX: Wrong category logged</t>
        </is>
      </c>
      <c r="D182" t="inlineStr">
        <is>
          <t>FILTER-13503</t>
        </is>
      </c>
      <c r="E182" t="inlineStr">
        <is>
          <t>Defect</t>
        </is>
      </c>
      <c r="F182" t="inlineStr">
        <is>
          <t>Sagar Satpute</t>
        </is>
      </c>
      <c r="G182" t="inlineStr">
        <is>
          <t>Done</t>
        </is>
      </c>
      <c r="H182" t="inlineStr"/>
      <c r="I182" t="inlineStr">
        <is>
          <t>P1</t>
        </is>
      </c>
      <c r="J182" s="30" t="n">
        <v>46125</v>
      </c>
      <c r="L182" s="30" t="n">
        <v>46128</v>
      </c>
      <c r="M182" t="inlineStr">
        <is>
          <t>sprint-Hanna</t>
        </is>
      </c>
      <c r="N182" s="11" t="n">
        <v>8</v>
      </c>
      <c r="O182" s="11" t="n">
        <v>8</v>
      </c>
      <c r="P182" t="inlineStr">
        <is>
          <t>FILTER</t>
        </is>
      </c>
      <c r="Q182" t="inlineStr"/>
      <c r="R182" t="inlineStr"/>
      <c r="S182" t="inlineStr"/>
    </row>
    <row r="183">
      <c r="A183" t="inlineStr">
        <is>
          <t>Dev</t>
        </is>
      </c>
      <c r="B183" s="29" t="inlineStr">
        <is>
          <t>FILTER-13543</t>
        </is>
      </c>
      <c r="C183" s="21" t="inlineStr">
        <is>
          <t>DEV - Safety Console &gt;&gt; Filter. Admin Group. Admin user if removed from DA, looses Admin session as well</t>
        </is>
      </c>
      <c r="D183" t="inlineStr">
        <is>
          <t>FILTER-13542</t>
        </is>
      </c>
      <c r="E183" t="inlineStr">
        <is>
          <t>Defect</t>
        </is>
      </c>
      <c r="F183" t="inlineStr">
        <is>
          <t>Sagar Satpute</t>
        </is>
      </c>
      <c r="G183" t="inlineStr">
        <is>
          <t>Done</t>
        </is>
      </c>
      <c r="H183" t="inlineStr"/>
      <c r="I183" t="inlineStr">
        <is>
          <t>P0</t>
        </is>
      </c>
      <c r="J183" s="30" t="n">
        <v>46126</v>
      </c>
      <c r="L183" s="30" t="n">
        <v>46127</v>
      </c>
      <c r="M183" t="inlineStr">
        <is>
          <t>sprint-Hanna</t>
        </is>
      </c>
      <c r="N183" s="11" t="n">
        <v>6</v>
      </c>
      <c r="O183" s="11" t="n">
        <v>6</v>
      </c>
      <c r="P183" t="inlineStr">
        <is>
          <t>FILTER</t>
        </is>
      </c>
      <c r="Q183" t="inlineStr"/>
      <c r="R183" t="inlineStr"/>
      <c r="S183" t="inlineStr"/>
    </row>
    <row r="184">
      <c r="A184" t="inlineStr">
        <is>
          <t>Dev</t>
        </is>
      </c>
      <c r="B184" s="29" t="inlineStr">
        <is>
          <t>FILTER-13740</t>
        </is>
      </c>
      <c r="C184" s="21" t="inlineStr">
        <is>
          <t>DEV - P1 Escalation-Filter reports file URLs are easily guessable and the S3 bucket used for downloads is publicly accessible.</t>
        </is>
      </c>
      <c r="D184" t="inlineStr">
        <is>
          <t>FILTER-13739</t>
        </is>
      </c>
      <c r="E184" t="inlineStr">
        <is>
          <t>Escape Defect</t>
        </is>
      </c>
      <c r="F184" t="inlineStr">
        <is>
          <t>Sagar Satpute</t>
        </is>
      </c>
      <c r="G184" t="inlineStr">
        <is>
          <t>Done</t>
        </is>
      </c>
      <c r="H184" t="inlineStr"/>
      <c r="I184" t="inlineStr">
        <is>
          <t>P1</t>
        </is>
      </c>
      <c r="J184" s="30" t="n">
        <v>46134</v>
      </c>
      <c r="L184" s="30" t="n">
        <v>46136</v>
      </c>
      <c r="M184" t="inlineStr">
        <is>
          <t>sprint-Hanna</t>
        </is>
      </c>
      <c r="N184" s="11" t="n">
        <v>13</v>
      </c>
      <c r="O184" s="11" t="n">
        <v>8</v>
      </c>
      <c r="P184" t="inlineStr">
        <is>
          <t>FILTER</t>
        </is>
      </c>
      <c r="Q184" t="inlineStr"/>
      <c r="R184" t="inlineStr"/>
      <c r="S184" t="inlineStr"/>
    </row>
    <row r="185">
      <c r="A185" t="inlineStr">
        <is>
          <t>Dev</t>
        </is>
      </c>
      <c r="B185" s="29" t="inlineStr">
        <is>
          <t>FILTER-13748</t>
        </is>
      </c>
      <c r="C185" s="21" t="inlineStr">
        <is>
          <t>DEV - Filter &gt;&gt; Download, Email, and Scheduled reports are not working.</t>
        </is>
      </c>
      <c r="D185" t="inlineStr">
        <is>
          <t>FILTER-13743</t>
        </is>
      </c>
      <c r="E185" t="inlineStr">
        <is>
          <t>Escape Defect</t>
        </is>
      </c>
      <c r="F185" t="inlineStr">
        <is>
          <t>Sagar Satpute</t>
        </is>
      </c>
      <c r="G185" t="inlineStr">
        <is>
          <t>Closed without action</t>
        </is>
      </c>
      <c r="H185" t="inlineStr"/>
      <c r="I185" t="inlineStr">
        <is>
          <t>P0</t>
        </is>
      </c>
      <c r="J185" s="30" t="n">
        <v>46135</v>
      </c>
      <c r="L185" s="30" t="n">
        <v>46136</v>
      </c>
      <c r="M185" t="inlineStr">
        <is>
          <t>sprint-Hanna</t>
        </is>
      </c>
      <c r="N185" s="11" t="n">
        <v>0</v>
      </c>
      <c r="O185" s="11" t="n">
        <v>0</v>
      </c>
      <c r="P185" t="inlineStr">
        <is>
          <t>FILTER</t>
        </is>
      </c>
      <c r="Q185" t="inlineStr"/>
      <c r="R185" t="inlineStr"/>
      <c r="S185" t="inlineStr"/>
    </row>
    <row r="186">
      <c r="A186" t="inlineStr">
        <is>
          <t>Dev</t>
        </is>
      </c>
      <c r="B186" s="29" t="inlineStr">
        <is>
          <t>FILTER-13783</t>
        </is>
      </c>
      <c r="C186" s="21" t="inlineStr">
        <is>
          <t>DEV - Use common sso package - www-support-tool</t>
        </is>
      </c>
      <c r="D186" t="inlineStr">
        <is>
          <t>FILTER-13782</t>
        </is>
      </c>
      <c r="E186" t="inlineStr">
        <is>
          <t>Story</t>
        </is>
      </c>
      <c r="F186" t="inlineStr">
        <is>
          <t>Sagar Satpute</t>
        </is>
      </c>
      <c r="G186" t="inlineStr">
        <is>
          <t>Done</t>
        </is>
      </c>
      <c r="H186" t="inlineStr"/>
      <c r="I186" t="inlineStr">
        <is>
          <t>P3</t>
        </is>
      </c>
      <c r="J186" s="30" t="n">
        <v>46110</v>
      </c>
      <c r="L186" s="30" t="n">
        <v>46139</v>
      </c>
      <c r="M186" t="inlineStr">
        <is>
          <t>sprint-Hanna</t>
        </is>
      </c>
      <c r="N186" s="11" t="n">
        <v>10</v>
      </c>
      <c r="O186" s="11" t="n">
        <v>16</v>
      </c>
      <c r="P186" t="inlineStr">
        <is>
          <t>FILTER</t>
        </is>
      </c>
      <c r="Q186" t="inlineStr"/>
      <c r="R186" t="inlineStr"/>
      <c r="S186" t="inlineStr"/>
    </row>
    <row r="187">
      <c r="A187" t="inlineStr">
        <is>
          <t>Dev</t>
        </is>
      </c>
      <c r="B187" s="29" t="inlineStr">
        <is>
          <t>FILTER-13786</t>
        </is>
      </c>
      <c r="C187" s="21" t="inlineStr">
        <is>
          <t>DEV - Use common sso package - www-filter</t>
        </is>
      </c>
      <c r="D187" t="inlineStr">
        <is>
          <t>FILTER-13785</t>
        </is>
      </c>
      <c r="E187" t="inlineStr">
        <is>
          <t>Story</t>
        </is>
      </c>
      <c r="F187" t="inlineStr">
        <is>
          <t>Sagar Satpute</t>
        </is>
      </c>
      <c r="G187" t="inlineStr">
        <is>
          <t>Done</t>
        </is>
      </c>
      <c r="H187" t="inlineStr"/>
      <c r="I187" t="inlineStr">
        <is>
          <t>P3</t>
        </is>
      </c>
      <c r="J187" s="30" t="n">
        <v>46110</v>
      </c>
      <c r="L187" s="30" t="n">
        <v>46139</v>
      </c>
      <c r="M187" t="inlineStr">
        <is>
          <t>sprint-Hanna</t>
        </is>
      </c>
      <c r="N187" s="11" t="n">
        <v>8</v>
      </c>
      <c r="O187" s="11" t="n">
        <v>16</v>
      </c>
      <c r="P187" t="inlineStr">
        <is>
          <t>FILTER</t>
        </is>
      </c>
      <c r="Q187" t="inlineStr"/>
      <c r="R187" t="inlineStr"/>
      <c r="S187" t="inlineStr"/>
    </row>
    <row r="188">
      <c r="A188" t="inlineStr">
        <is>
          <t>Escape Defect</t>
        </is>
      </c>
      <c r="B188" s="29" t="inlineStr">
        <is>
          <t>FILTER-10462</t>
        </is>
      </c>
      <c r="C188" s="21" t="inlineStr">
        <is>
          <t>Security groups for customer are not able to be searched for, and initially do not show on Policy Map</t>
        </is>
      </c>
      <c r="D188" t="inlineStr"/>
      <c r="E188" t="inlineStr"/>
      <c r="F188" t="inlineStr">
        <is>
          <t>Shailendra Singh</t>
        </is>
      </c>
      <c r="G188" t="inlineStr">
        <is>
          <t>QA Verified</t>
        </is>
      </c>
      <c r="H188" t="inlineStr">
        <is>
          <t>Fixed</t>
        </is>
      </c>
      <c r="I188" t="inlineStr">
        <is>
          <t>P3</t>
        </is>
      </c>
      <c r="J188" s="30" t="n">
        <v>45947</v>
      </c>
      <c r="K188" s="30" t="n">
        <v>45985</v>
      </c>
      <c r="L188" s="30" t="n">
        <v>46139</v>
      </c>
      <c r="M188" t="inlineStr">
        <is>
          <t>sprint-Hanna</t>
        </is>
      </c>
      <c r="N188" s="11" t="n">
        <v>4</v>
      </c>
      <c r="O188" s="11" t="n">
        <v>6</v>
      </c>
      <c r="P188" t="inlineStr">
        <is>
          <t>FILTER</t>
        </is>
      </c>
      <c r="Q188" t="inlineStr">
        <is>
          <t>jira_added, jira_escalated, jira_in_progress, jira_p3, jira_reopened, zendesk_org_at_risk</t>
        </is>
      </c>
      <c r="R188" t="inlineStr"/>
      <c r="S188" t="inlineStr"/>
    </row>
    <row r="189">
      <c r="A189" t="inlineStr">
        <is>
          <t>Dev</t>
        </is>
      </c>
      <c r="B189" s="29" t="inlineStr">
        <is>
          <t>FILTER-12703</t>
        </is>
      </c>
      <c r="C189" s="21" t="inlineStr">
        <is>
          <t>DEV - Support Tool &gt;&gt; Custom list UI. Custom List table and Custom List Resource table headers are not in bold</t>
        </is>
      </c>
      <c r="D189" t="inlineStr">
        <is>
          <t>FILTER-12702</t>
        </is>
      </c>
      <c r="E189" t="inlineStr">
        <is>
          <t>Defect</t>
        </is>
      </c>
      <c r="F189" t="inlineStr">
        <is>
          <t>Shailendra Singh</t>
        </is>
      </c>
      <c r="G189" t="inlineStr">
        <is>
          <t>Done</t>
        </is>
      </c>
      <c r="H189" t="inlineStr"/>
      <c r="I189" t="inlineStr">
        <is>
          <t>P3</t>
        </is>
      </c>
      <c r="J189" s="30" t="n">
        <v>46107</v>
      </c>
      <c r="L189" s="30" t="n">
        <v>46126</v>
      </c>
      <c r="M189" t="inlineStr">
        <is>
          <t>sprint-Hanna</t>
        </is>
      </c>
      <c r="N189" s="11" t="n">
        <v>2</v>
      </c>
      <c r="O189" s="11" t="n">
        <v>2</v>
      </c>
      <c r="P189" t="inlineStr">
        <is>
          <t>FILTER</t>
        </is>
      </c>
      <c r="Q189" t="inlineStr"/>
      <c r="R189" t="inlineStr"/>
      <c r="S189" t="inlineStr"/>
    </row>
    <row r="190">
      <c r="A190" t="inlineStr">
        <is>
          <t>Dev</t>
        </is>
      </c>
      <c r="B190" s="29" t="inlineStr">
        <is>
          <t>FILTER-12773</t>
        </is>
      </c>
      <c r="C190" s="21" t="inlineStr">
        <is>
          <t>DEV - Support Tool &gt;&gt; Custom list UI. Custom List table &gt;&gt; List names become center aligned if the Brower Zoom is 110% or more.</t>
        </is>
      </c>
      <c r="D190" t="inlineStr">
        <is>
          <t>FILTER-12772</t>
        </is>
      </c>
      <c r="E190" t="inlineStr">
        <is>
          <t>Defect</t>
        </is>
      </c>
      <c r="F190" t="inlineStr">
        <is>
          <t>Shailendra Singh</t>
        </is>
      </c>
      <c r="G190" t="inlineStr">
        <is>
          <t>Done</t>
        </is>
      </c>
      <c r="H190" t="inlineStr"/>
      <c r="I190" t="inlineStr">
        <is>
          <t>P3</t>
        </is>
      </c>
      <c r="J190" s="30" t="n">
        <v>46108</v>
      </c>
      <c r="L190" s="30" t="n">
        <v>46126</v>
      </c>
      <c r="M190" t="inlineStr">
        <is>
          <t>sprint-Hanna</t>
        </is>
      </c>
      <c r="N190" s="11" t="n">
        <v>3</v>
      </c>
      <c r="O190" s="11" t="n">
        <v>3</v>
      </c>
      <c r="P190" t="inlineStr">
        <is>
          <t>FILTER</t>
        </is>
      </c>
      <c r="Q190" t="inlineStr"/>
      <c r="R190" t="inlineStr"/>
      <c r="S190" t="inlineStr"/>
    </row>
    <row r="191">
      <c r="A191" t="inlineStr">
        <is>
          <t>Dev</t>
        </is>
      </c>
      <c r="B191" s="29" t="inlineStr">
        <is>
          <t>FILTER-12777</t>
        </is>
      </c>
      <c r="C191" s="21" t="inlineStr">
        <is>
          <t>DEV - Support Tool &gt;&gt; Custom list UI. Custom List table &gt;&gt; Action icons lose aligned if the Brower Zoom is 110% or more.</t>
        </is>
      </c>
      <c r="D191" t="inlineStr">
        <is>
          <t>FILTER-12776</t>
        </is>
      </c>
      <c r="E191" t="inlineStr">
        <is>
          <t>Defect</t>
        </is>
      </c>
      <c r="F191" t="inlineStr">
        <is>
          <t>Shailendra Singh</t>
        </is>
      </c>
      <c r="G191" t="inlineStr">
        <is>
          <t>Done</t>
        </is>
      </c>
      <c r="H191" t="inlineStr"/>
      <c r="I191" t="inlineStr">
        <is>
          <t>P3</t>
        </is>
      </c>
      <c r="J191" s="30" t="n">
        <v>46108</v>
      </c>
      <c r="L191" s="30" t="n">
        <v>46126</v>
      </c>
      <c r="M191" t="inlineStr">
        <is>
          <t>sprint-Hanna</t>
        </is>
      </c>
      <c r="N191" s="11" t="n">
        <v>3</v>
      </c>
      <c r="O191" s="11" t="n">
        <v>3</v>
      </c>
      <c r="P191" t="inlineStr">
        <is>
          <t>FILTER</t>
        </is>
      </c>
      <c r="Q191" t="inlineStr"/>
      <c r="R191" t="inlineStr"/>
      <c r="S191" t="inlineStr"/>
    </row>
    <row r="192">
      <c r="A192" t="inlineStr">
        <is>
          <t>Dev</t>
        </is>
      </c>
      <c r="B192" s="29" t="inlineStr">
        <is>
          <t>FILTER-12857</t>
        </is>
      </c>
      <c r="C192" s="21" t="inlineStr">
        <is>
          <t>DEV - Support Tool &gt;&gt; Custom list UI. Custom List table &gt;&gt; "Updated on" field's date format is inconsistent with date format on FID listing page's " Last edited / created" field</t>
        </is>
      </c>
      <c r="D192" t="inlineStr">
        <is>
          <t>FILTER-12856</t>
        </is>
      </c>
      <c r="E192" t="inlineStr">
        <is>
          <t>Defect</t>
        </is>
      </c>
      <c r="F192" t="inlineStr">
        <is>
          <t>Shailendra Singh</t>
        </is>
      </c>
      <c r="G192" t="inlineStr">
        <is>
          <t>Done</t>
        </is>
      </c>
      <c r="H192" t="inlineStr"/>
      <c r="I192" t="inlineStr">
        <is>
          <t>P3</t>
        </is>
      </c>
      <c r="J192" s="30" t="n">
        <v>46108</v>
      </c>
      <c r="L192" s="30" t="n">
        <v>46126</v>
      </c>
      <c r="M192" t="inlineStr">
        <is>
          <t>sprint-Hanna</t>
        </is>
      </c>
      <c r="N192" s="11" t="n">
        <v>3</v>
      </c>
      <c r="O192" s="11" t="n">
        <v>3</v>
      </c>
      <c r="P192" t="inlineStr">
        <is>
          <t>FILTER</t>
        </is>
      </c>
      <c r="Q192" t="inlineStr"/>
      <c r="R192" t="inlineStr"/>
      <c r="S192" t="inlineStr"/>
    </row>
    <row r="193">
      <c r="A193" t="inlineStr">
        <is>
          <t>Dev</t>
        </is>
      </c>
      <c r="B193" s="29" t="inlineStr">
        <is>
          <t>FILTER-12873</t>
        </is>
      </c>
      <c r="C193" s="21" t="inlineStr">
        <is>
          <t>DEV - Support Tool &gt;&gt; Custom list UI. Custom List table,  Custom List Resource table &gt;&gt; icons section missing table header</t>
        </is>
      </c>
      <c r="D193" t="inlineStr">
        <is>
          <t>FILTER-12872</t>
        </is>
      </c>
      <c r="E193" t="inlineStr">
        <is>
          <t>Defect</t>
        </is>
      </c>
      <c r="F193" t="inlineStr">
        <is>
          <t>Shailendra Singh</t>
        </is>
      </c>
      <c r="G193" t="inlineStr">
        <is>
          <t>Done</t>
        </is>
      </c>
      <c r="H193" t="inlineStr"/>
      <c r="I193" t="inlineStr">
        <is>
          <t>P3</t>
        </is>
      </c>
      <c r="J193" s="30" t="n">
        <v>46108</v>
      </c>
      <c r="L193" s="30" t="n">
        <v>46132</v>
      </c>
      <c r="M193" t="inlineStr">
        <is>
          <t>sprint-Hanna</t>
        </is>
      </c>
      <c r="N193" s="11" t="n">
        <v>5</v>
      </c>
      <c r="O193" s="11" t="n">
        <v>3</v>
      </c>
      <c r="P193" t="inlineStr">
        <is>
          <t>FILTER</t>
        </is>
      </c>
      <c r="Q193" t="inlineStr"/>
      <c r="R193" t="inlineStr"/>
      <c r="S193" t="inlineStr"/>
    </row>
    <row r="194">
      <c r="A194" t="inlineStr">
        <is>
          <t>Dev</t>
        </is>
      </c>
      <c r="B194" s="29" t="inlineStr">
        <is>
          <t>FILTER-12885</t>
        </is>
      </c>
      <c r="C194" s="21" t="inlineStr">
        <is>
          <t>DEV - Support Tool &gt;&gt; Custom list UI. Custom List table, Custom List Resource table &gt;&gt; Formatting issues in table if List Name and Comment is big (255 characters each)</t>
        </is>
      </c>
      <c r="D194" t="inlineStr">
        <is>
          <t>FILTER-12884</t>
        </is>
      </c>
      <c r="E194" t="inlineStr">
        <is>
          <t>Defect</t>
        </is>
      </c>
      <c r="F194" t="inlineStr">
        <is>
          <t>Shailendra Singh</t>
        </is>
      </c>
      <c r="G194" t="inlineStr">
        <is>
          <t>Done</t>
        </is>
      </c>
      <c r="H194" t="inlineStr"/>
      <c r="I194" t="inlineStr">
        <is>
          <t>P3</t>
        </is>
      </c>
      <c r="J194" s="30" t="n">
        <v>46108</v>
      </c>
      <c r="L194" s="30" t="n">
        <v>46126</v>
      </c>
      <c r="M194" t="inlineStr">
        <is>
          <t>sprint-Hanna</t>
        </is>
      </c>
      <c r="N194" s="11" t="n">
        <v>5</v>
      </c>
      <c r="O194" s="11" t="n">
        <v>5</v>
      </c>
      <c r="P194" t="inlineStr">
        <is>
          <t>FILTER</t>
        </is>
      </c>
      <c r="Q194" t="inlineStr"/>
      <c r="R194" t="inlineStr"/>
      <c r="S194" t="inlineStr"/>
    </row>
    <row r="195">
      <c r="A195" t="inlineStr">
        <is>
          <t>Dev</t>
        </is>
      </c>
      <c r="B195" s="29" t="inlineStr">
        <is>
          <t>FILTER-12889</t>
        </is>
      </c>
      <c r="C195" s="21" t="inlineStr">
        <is>
          <t>DEV - Support Tool &gt;&gt; Custom list UI. Create custom list and Edit custom list, pages do not have * mark for Mandatory fields</t>
        </is>
      </c>
      <c r="D195" t="inlineStr">
        <is>
          <t>FILTER-12888</t>
        </is>
      </c>
      <c r="E195" t="inlineStr">
        <is>
          <t>Defect</t>
        </is>
      </c>
      <c r="F195" t="inlineStr">
        <is>
          <t>Shailendra Singh</t>
        </is>
      </c>
      <c r="G195" t="inlineStr">
        <is>
          <t>Done</t>
        </is>
      </c>
      <c r="H195" t="inlineStr"/>
      <c r="I195" t="inlineStr">
        <is>
          <t>P3</t>
        </is>
      </c>
      <c r="J195" s="30" t="n">
        <v>46108</v>
      </c>
      <c r="L195" s="30" t="n">
        <v>46126</v>
      </c>
      <c r="M195" t="inlineStr">
        <is>
          <t>sprint-Hanna</t>
        </is>
      </c>
      <c r="N195" s="11" t="n">
        <v>4</v>
      </c>
      <c r="O195" s="11" t="n">
        <v>4</v>
      </c>
      <c r="P195" t="inlineStr">
        <is>
          <t>FILTER</t>
        </is>
      </c>
      <c r="Q195" t="inlineStr"/>
      <c r="R195" t="inlineStr"/>
      <c r="S195" t="inlineStr"/>
    </row>
    <row r="196">
      <c r="A196" t="inlineStr">
        <is>
          <t>Dev</t>
        </is>
      </c>
      <c r="B196" s="29" t="inlineStr">
        <is>
          <t>FILTER-12897</t>
        </is>
      </c>
      <c r="C196" s="21" t="inlineStr">
        <is>
          <t>DEV - Support Tool &gt;&gt; Custom list UI. Create custom list Resource and Update custom list Resource, drawer should validated for comment length on Save of that drawer</t>
        </is>
      </c>
      <c r="D196" t="inlineStr">
        <is>
          <t>FILTER-12896</t>
        </is>
      </c>
      <c r="E196" t="inlineStr">
        <is>
          <t>Defect</t>
        </is>
      </c>
      <c r="F196" t="inlineStr">
        <is>
          <t>Shailendra Singh</t>
        </is>
      </c>
      <c r="G196" t="inlineStr">
        <is>
          <t>Closed without action</t>
        </is>
      </c>
      <c r="H196" t="inlineStr"/>
      <c r="I196" t="inlineStr">
        <is>
          <t>P2</t>
        </is>
      </c>
      <c r="J196" s="30" t="n">
        <v>46108</v>
      </c>
      <c r="L196" s="30" t="n">
        <v>46132</v>
      </c>
      <c r="M196" t="inlineStr">
        <is>
          <t>sprint-Hanna</t>
        </is>
      </c>
      <c r="N196" s="11" t="n">
        <v>0</v>
      </c>
      <c r="O196" s="11" t="n">
        <v>0</v>
      </c>
      <c r="P196" t="inlineStr">
        <is>
          <t>FILTER</t>
        </is>
      </c>
      <c r="Q196" t="inlineStr"/>
      <c r="R196" t="inlineStr"/>
      <c r="S196" t="inlineStr"/>
    </row>
    <row r="197">
      <c r="A197" t="inlineStr">
        <is>
          <t>Dev</t>
        </is>
      </c>
      <c r="B197" s="29" t="inlineStr">
        <is>
          <t>FILTER-12905</t>
        </is>
      </c>
      <c r="C197" s="21" t="inlineStr">
        <is>
          <t>DEV - Support Tool &gt;&gt; Custom list UI. Create custom list Resource and Edit custom list Resource, drawers donot check for duplicate Custom list resource.</t>
        </is>
      </c>
      <c r="D197" t="inlineStr">
        <is>
          <t>FILTER-12904</t>
        </is>
      </c>
      <c r="E197" t="inlineStr">
        <is>
          <t>Defect</t>
        </is>
      </c>
      <c r="F197" t="inlineStr">
        <is>
          <t>Shailendra Singh</t>
        </is>
      </c>
      <c r="G197" t="inlineStr">
        <is>
          <t>Done</t>
        </is>
      </c>
      <c r="H197" t="inlineStr"/>
      <c r="I197" t="inlineStr">
        <is>
          <t>P2</t>
        </is>
      </c>
      <c r="J197" s="30" t="n">
        <v>46108</v>
      </c>
      <c r="L197" s="30" t="n">
        <v>46136</v>
      </c>
      <c r="M197" t="inlineStr">
        <is>
          <t>sprint-Hanna</t>
        </is>
      </c>
      <c r="N197" s="11" t="n">
        <v>4</v>
      </c>
      <c r="O197" s="11" t="n">
        <v>4</v>
      </c>
      <c r="P197" t="inlineStr">
        <is>
          <t>FILTER</t>
        </is>
      </c>
      <c r="Q197" t="inlineStr"/>
      <c r="R197" t="inlineStr"/>
      <c r="S197" t="inlineStr"/>
    </row>
    <row r="198">
      <c r="A198" t="inlineStr">
        <is>
          <t>Dev</t>
        </is>
      </c>
      <c r="B198" s="29" t="inlineStr">
        <is>
          <t>FILTER-12909</t>
        </is>
      </c>
      <c r="C198" s="21" t="inlineStr">
        <is>
          <t>DEV - Support Tool &gt;&gt; Custom list UI. Edit custom list, User can change the Type on Edit.</t>
        </is>
      </c>
      <c r="D198" t="inlineStr">
        <is>
          <t>FILTER-12908</t>
        </is>
      </c>
      <c r="E198" t="inlineStr">
        <is>
          <t>Defect</t>
        </is>
      </c>
      <c r="F198" t="inlineStr">
        <is>
          <t>Shailendra Singh</t>
        </is>
      </c>
      <c r="G198" t="inlineStr">
        <is>
          <t>Done</t>
        </is>
      </c>
      <c r="H198" t="inlineStr"/>
      <c r="I198" t="inlineStr">
        <is>
          <t>P1</t>
        </is>
      </c>
      <c r="J198" s="30" t="n">
        <v>46108</v>
      </c>
      <c r="L198" s="30" t="n">
        <v>46126</v>
      </c>
      <c r="M198" t="inlineStr">
        <is>
          <t>sprint-Hanna</t>
        </is>
      </c>
      <c r="N198" s="11" t="n">
        <v>6</v>
      </c>
      <c r="O198" s="11" t="n">
        <v>6</v>
      </c>
      <c r="P198" t="inlineStr">
        <is>
          <t>FILTER</t>
        </is>
      </c>
      <c r="Q198" t="inlineStr"/>
      <c r="R198" t="inlineStr"/>
      <c r="S198" t="inlineStr"/>
    </row>
    <row r="199">
      <c r="A199" t="inlineStr">
        <is>
          <t>Dev</t>
        </is>
      </c>
      <c r="B199" s="29" t="inlineStr">
        <is>
          <t>FILTER-12933</t>
        </is>
      </c>
      <c r="C199" s="21" t="inlineStr">
        <is>
          <t>DEV - Support Tool &gt;&gt; Custom list UI. Edit custom list Search terms type, allows changing Match type and saves it. But does not reflect the change.</t>
        </is>
      </c>
      <c r="D199" t="inlineStr">
        <is>
          <t>FILTER-12932</t>
        </is>
      </c>
      <c r="E199" t="inlineStr">
        <is>
          <t>Defect</t>
        </is>
      </c>
      <c r="F199" t="inlineStr">
        <is>
          <t>Shailendra Singh</t>
        </is>
      </c>
      <c r="G199" t="inlineStr">
        <is>
          <t>Closed without action</t>
        </is>
      </c>
      <c r="H199" t="inlineStr"/>
      <c r="I199" t="inlineStr">
        <is>
          <t>P1</t>
        </is>
      </c>
      <c r="J199" s="30" t="n">
        <v>46108</v>
      </c>
      <c r="L199" s="30" t="n">
        <v>46127</v>
      </c>
      <c r="M199" t="inlineStr">
        <is>
          <t>sprint-Hanna</t>
        </is>
      </c>
      <c r="N199" s="11" t="n">
        <v>0</v>
      </c>
      <c r="O199" s="11" t="n">
        <v>0</v>
      </c>
      <c r="P199" t="inlineStr">
        <is>
          <t>FILTER</t>
        </is>
      </c>
      <c r="Q199" t="inlineStr"/>
      <c r="R199" t="inlineStr"/>
      <c r="S199" t="inlineStr"/>
    </row>
    <row r="200">
      <c r="A200" t="inlineStr">
        <is>
          <t>Dev</t>
        </is>
      </c>
      <c r="B200" s="29" t="inlineStr">
        <is>
          <t>FILTER-13455</t>
        </is>
      </c>
      <c r="C200" s="21" t="inlineStr">
        <is>
          <t>DEV - Support Tool. After searching for FID from FID Detail page's FID name dropdown, the FID name is not cleared</t>
        </is>
      </c>
      <c r="D200" t="inlineStr">
        <is>
          <t>FILTER-13454</t>
        </is>
      </c>
      <c r="E200" t="inlineStr">
        <is>
          <t>Escape Defect</t>
        </is>
      </c>
      <c r="F200" t="inlineStr">
        <is>
          <t>Shailendra Singh</t>
        </is>
      </c>
      <c r="G200" t="inlineStr">
        <is>
          <t>Done</t>
        </is>
      </c>
      <c r="H200" t="inlineStr"/>
      <c r="I200" t="inlineStr">
        <is>
          <t>P1</t>
        </is>
      </c>
      <c r="J200" s="30" t="n">
        <v>46123</v>
      </c>
      <c r="L200" s="30" t="n">
        <v>46132</v>
      </c>
      <c r="M200" t="inlineStr">
        <is>
          <t>sprint-Hanna</t>
        </is>
      </c>
      <c r="N200" s="11" t="n">
        <v>4</v>
      </c>
      <c r="O200" s="11" t="n">
        <v>4</v>
      </c>
      <c r="P200" t="inlineStr">
        <is>
          <t>FILTER</t>
        </is>
      </c>
      <c r="Q200" t="inlineStr"/>
      <c r="R200" t="inlineStr"/>
      <c r="S200" t="inlineStr"/>
    </row>
    <row r="201">
      <c r="A201" t="inlineStr">
        <is>
          <t>Dev</t>
        </is>
      </c>
      <c r="B201" s="29" t="inlineStr">
        <is>
          <t>FILTER-13459</t>
        </is>
      </c>
      <c r="C201" s="21" t="inlineStr">
        <is>
          <t>DEV - Support Tool. FID search from FID Detail page's FID name dropdown is not able to search when spaces are present at the start or end of the query.</t>
        </is>
      </c>
      <c r="D201" t="inlineStr">
        <is>
          <t>FILTER-13458</t>
        </is>
      </c>
      <c r="E201" t="inlineStr">
        <is>
          <t>Escape Defect</t>
        </is>
      </c>
      <c r="F201" t="inlineStr">
        <is>
          <t>Shailendra Singh</t>
        </is>
      </c>
      <c r="G201" t="inlineStr">
        <is>
          <t>Done</t>
        </is>
      </c>
      <c r="H201" t="inlineStr"/>
      <c r="I201" t="inlineStr">
        <is>
          <t>P3</t>
        </is>
      </c>
      <c r="J201" s="30" t="n">
        <v>46123</v>
      </c>
      <c r="L201" s="30" t="n">
        <v>46132</v>
      </c>
      <c r="M201" t="inlineStr">
        <is>
          <t>sprint-Hanna</t>
        </is>
      </c>
      <c r="N201" s="11" t="n">
        <v>3</v>
      </c>
      <c r="O201" s="11" t="n">
        <v>3</v>
      </c>
      <c r="P201" t="inlineStr">
        <is>
          <t>FILTER</t>
        </is>
      </c>
      <c r="Q201" t="inlineStr"/>
      <c r="R201" t="inlineStr"/>
      <c r="S201" t="inlineStr"/>
    </row>
    <row r="202">
      <c r="A202" t="inlineStr">
        <is>
          <t>Dev</t>
        </is>
      </c>
      <c r="B202" s="29" t="inlineStr">
        <is>
          <t>FILTER-13463</t>
        </is>
      </c>
      <c r="C202" s="21" t="inlineStr">
        <is>
          <t>DEV - Support Tool. FID search from FID Detail page's FID name dropdown can search and display closed accounts as well</t>
        </is>
      </c>
      <c r="D202" t="inlineStr">
        <is>
          <t>FILTER-13462</t>
        </is>
      </c>
      <c r="E202" t="inlineStr">
        <is>
          <t>Escape Defect</t>
        </is>
      </c>
      <c r="F202" t="inlineStr">
        <is>
          <t>Shailendra Singh</t>
        </is>
      </c>
      <c r="G202" t="inlineStr">
        <is>
          <t>Done</t>
        </is>
      </c>
      <c r="H202" t="inlineStr"/>
      <c r="I202" t="inlineStr">
        <is>
          <t>P2</t>
        </is>
      </c>
      <c r="J202" s="30" t="n">
        <v>46123</v>
      </c>
      <c r="L202" s="30" t="n">
        <v>46132</v>
      </c>
      <c r="M202" t="inlineStr">
        <is>
          <t>sprint-Hanna</t>
        </is>
      </c>
      <c r="N202" s="11" t="n">
        <v>4</v>
      </c>
      <c r="O202" s="11" t="n">
        <v>4</v>
      </c>
      <c r="P202" t="inlineStr">
        <is>
          <t>FILTER</t>
        </is>
      </c>
      <c r="Q202" t="inlineStr"/>
      <c r="R202" t="inlineStr"/>
      <c r="S202" t="inlineStr"/>
    </row>
    <row r="203">
      <c r="A203" t="inlineStr">
        <is>
          <t>Dev</t>
        </is>
      </c>
      <c r="B203" s="29" t="inlineStr">
        <is>
          <t>FILTER-13517</t>
        </is>
      </c>
      <c r="C203" s="21" t="inlineStr">
        <is>
          <t>Fix issue for Report section</t>
        </is>
      </c>
      <c r="D203" t="inlineStr">
        <is>
          <t>FILTER-10462</t>
        </is>
      </c>
      <c r="E203" t="inlineStr">
        <is>
          <t>Escape Defect</t>
        </is>
      </c>
      <c r="F203" t="inlineStr">
        <is>
          <t>Shailendra Singh</t>
        </is>
      </c>
      <c r="G203" t="inlineStr">
        <is>
          <t>Done</t>
        </is>
      </c>
      <c r="H203" t="inlineStr"/>
      <c r="I203" t="inlineStr">
        <is>
          <t>P2</t>
        </is>
      </c>
      <c r="J203" s="30" t="n">
        <v>46126</v>
      </c>
      <c r="L203" s="30" t="n">
        <v>46128</v>
      </c>
      <c r="M203" t="inlineStr">
        <is>
          <t>sprint-Hanna</t>
        </is>
      </c>
      <c r="N203" s="11" t="n">
        <v>4</v>
      </c>
      <c r="O203" s="11" t="n">
        <v>4</v>
      </c>
      <c r="P203" t="inlineStr">
        <is>
          <t>FILTER</t>
        </is>
      </c>
      <c r="Q203" t="inlineStr"/>
      <c r="R203" t="inlineStr"/>
      <c r="S203" t="inlineStr"/>
    </row>
    <row r="204">
      <c r="A204" t="inlineStr">
        <is>
          <t>QA</t>
        </is>
      </c>
      <c r="B204" s="29" t="inlineStr">
        <is>
          <t>FILTER-11536</t>
        </is>
      </c>
      <c r="C204" s="21" t="inlineStr">
        <is>
          <t xml:space="preserve">Manual Testing Tokenization service for SPAC / DNS </t>
        </is>
      </c>
      <c r="D204" t="inlineStr">
        <is>
          <t>FILTER-11532</t>
        </is>
      </c>
      <c r="E204" t="inlineStr">
        <is>
          <t>Story</t>
        </is>
      </c>
      <c r="F204" t="inlineStr">
        <is>
          <t>Surabhi Choudhary</t>
        </is>
      </c>
      <c r="G204" t="inlineStr">
        <is>
          <t>Done</t>
        </is>
      </c>
      <c r="H204" t="inlineStr"/>
      <c r="I204" t="inlineStr">
        <is>
          <t>P3</t>
        </is>
      </c>
      <c r="J204" s="30" t="n">
        <v>46010</v>
      </c>
      <c r="L204" s="30" t="n">
        <v>46127</v>
      </c>
      <c r="M204" t="inlineStr">
        <is>
          <t>sprint-Hanna</t>
        </is>
      </c>
      <c r="N204" s="11" t="n">
        <v>16</v>
      </c>
      <c r="O204" s="11" t="n">
        <v>16</v>
      </c>
      <c r="P204" t="inlineStr">
        <is>
          <t>FILTER</t>
        </is>
      </c>
      <c r="Q204" t="inlineStr">
        <is>
          <t>Capitalized-Feature</t>
        </is>
      </c>
      <c r="R204" t="inlineStr"/>
      <c r="S204" t="inlineStr"/>
    </row>
    <row r="205">
      <c r="A205" t="inlineStr">
        <is>
          <t>QA</t>
        </is>
      </c>
      <c r="B205" s="29" t="inlineStr">
        <is>
          <t>FILTER-11661</t>
        </is>
      </c>
      <c r="C205" s="21" t="inlineStr">
        <is>
          <t xml:space="preserve">Manual Testing Tokenization service for Extension </t>
        </is>
      </c>
      <c r="D205" t="inlineStr">
        <is>
          <t>FILTER-11631</t>
        </is>
      </c>
      <c r="E205" t="inlineStr">
        <is>
          <t>Story</t>
        </is>
      </c>
      <c r="F205" t="inlineStr">
        <is>
          <t>Surabhi Choudhary</t>
        </is>
      </c>
      <c r="G205" t="inlineStr">
        <is>
          <t>Done</t>
        </is>
      </c>
      <c r="H205" t="inlineStr"/>
      <c r="I205" t="inlineStr">
        <is>
          <t>P3</t>
        </is>
      </c>
      <c r="J205" s="30" t="n">
        <v>46037</v>
      </c>
      <c r="L205" s="30" t="n">
        <v>46126</v>
      </c>
      <c r="M205" t="inlineStr">
        <is>
          <t>sprint-Hanna</t>
        </is>
      </c>
      <c r="N205" s="11" t="n">
        <v>24</v>
      </c>
      <c r="O205" s="11" t="n">
        <v>24</v>
      </c>
      <c r="P205" t="inlineStr">
        <is>
          <t>FILTER</t>
        </is>
      </c>
      <c r="Q205" t="inlineStr">
        <is>
          <t>Capitalized-Feature</t>
        </is>
      </c>
      <c r="R205" t="inlineStr"/>
      <c r="S205" t="inlineStr"/>
    </row>
    <row r="206">
      <c r="A206" t="inlineStr">
        <is>
          <t>Test Case Creation</t>
        </is>
      </c>
      <c r="B206" s="29" t="inlineStr">
        <is>
          <t>FILTER-11748</t>
        </is>
      </c>
      <c r="C206" s="21" t="inlineStr">
        <is>
          <t>Create test cases for Tokenization feature</t>
        </is>
      </c>
      <c r="D206" t="inlineStr">
        <is>
          <t>FILTER-11532</t>
        </is>
      </c>
      <c r="E206" t="inlineStr">
        <is>
          <t>Story</t>
        </is>
      </c>
      <c r="F206" t="inlineStr">
        <is>
          <t>Surabhi Choudhary</t>
        </is>
      </c>
      <c r="G206" t="inlineStr">
        <is>
          <t>Done</t>
        </is>
      </c>
      <c r="H206" t="inlineStr"/>
      <c r="I206" t="inlineStr">
        <is>
          <t>P3</t>
        </is>
      </c>
      <c r="J206" s="30" t="n">
        <v>46043</v>
      </c>
      <c r="L206" s="30" t="n">
        <v>46126</v>
      </c>
      <c r="M206" t="inlineStr">
        <is>
          <t>sprint-Hanna</t>
        </is>
      </c>
      <c r="N206" s="11" t="n">
        <v>8</v>
      </c>
      <c r="O206" s="11" t="n">
        <v>8</v>
      </c>
      <c r="P206" t="inlineStr">
        <is>
          <t>FILTER</t>
        </is>
      </c>
      <c r="Q206" t="inlineStr">
        <is>
          <t>Capitalized-Feature</t>
        </is>
      </c>
      <c r="R206" t="inlineStr"/>
      <c r="S206" t="inlineStr"/>
    </row>
    <row r="207">
      <c r="A207" t="inlineStr">
        <is>
          <t>QA</t>
        </is>
      </c>
      <c r="B207" s="29" t="inlineStr">
        <is>
          <t>FILTER-12186</t>
        </is>
      </c>
      <c r="C207" s="21" t="inlineStr">
        <is>
          <t>Verify SSO access-token SameSite and JWT secret fixes for GO broker</t>
        </is>
      </c>
      <c r="D207" t="inlineStr">
        <is>
          <t>FILTER-12048</t>
        </is>
      </c>
      <c r="E207" t="inlineStr">
        <is>
          <t>Escape Defect</t>
        </is>
      </c>
      <c r="F207" t="inlineStr">
        <is>
          <t>Surabhi Choudhary</t>
        </is>
      </c>
      <c r="G207" t="inlineStr">
        <is>
          <t>Done</t>
        </is>
      </c>
      <c r="H207" t="inlineStr"/>
      <c r="I207" t="inlineStr">
        <is>
          <t>P2</t>
        </is>
      </c>
      <c r="J207" s="30" t="n">
        <v>46078</v>
      </c>
      <c r="L207" s="30" t="n">
        <v>46136</v>
      </c>
      <c r="M207" t="inlineStr">
        <is>
          <t>sprint-Hanna</t>
        </is>
      </c>
      <c r="N207" s="11" t="n">
        <v>1</v>
      </c>
      <c r="O207" s="11" t="n">
        <v>1</v>
      </c>
      <c r="P207" t="inlineStr">
        <is>
          <t>FILTER</t>
        </is>
      </c>
      <c r="Q207" t="inlineStr"/>
      <c r="R207" t="inlineStr"/>
      <c r="S207" t="inlineStr"/>
    </row>
    <row r="208">
      <c r="A208" t="inlineStr">
        <is>
          <t>QA</t>
        </is>
      </c>
      <c r="B208" s="29" t="inlineStr">
        <is>
          <t>FILTER-12798</t>
        </is>
      </c>
      <c r="C208" s="21" t="inlineStr">
        <is>
          <t>QA- Update Cron Job for tokenization</t>
        </is>
      </c>
      <c r="D208" t="inlineStr">
        <is>
          <t>FILTER-12796</t>
        </is>
      </c>
      <c r="E208" t="inlineStr">
        <is>
          <t>Task</t>
        </is>
      </c>
      <c r="F208" t="inlineStr">
        <is>
          <t>Surabhi Choudhary</t>
        </is>
      </c>
      <c r="G208" t="inlineStr">
        <is>
          <t>Done</t>
        </is>
      </c>
      <c r="H208" t="inlineStr"/>
      <c r="I208" t="inlineStr">
        <is>
          <t>P3</t>
        </is>
      </c>
      <c r="J208" s="30" t="n">
        <v>46108</v>
      </c>
      <c r="L208" s="30" t="n">
        <v>46135</v>
      </c>
      <c r="M208" t="inlineStr">
        <is>
          <t>sprint-Hanna</t>
        </is>
      </c>
      <c r="N208" s="11" t="n">
        <v>2</v>
      </c>
      <c r="O208" s="11" t="n">
        <v>2</v>
      </c>
      <c r="P208" t="inlineStr">
        <is>
          <t>FILTER</t>
        </is>
      </c>
      <c r="Q208" t="inlineStr"/>
      <c r="R208" t="inlineStr"/>
      <c r="S208" t="inlineStr"/>
    </row>
    <row r="209">
      <c r="A209" t="inlineStr">
        <is>
          <t>QA</t>
        </is>
      </c>
      <c r="B209" s="29" t="inlineStr">
        <is>
          <t>FILTER-13050</t>
        </is>
      </c>
      <c r="C209" s="21" t="inlineStr">
        <is>
          <t>QA- GO extension: proxy call shows success for unauthorized user</t>
        </is>
      </c>
      <c r="D209" t="inlineStr">
        <is>
          <t>FILTER-13048</t>
        </is>
      </c>
      <c r="E209" t="inlineStr">
        <is>
          <t>Defect</t>
        </is>
      </c>
      <c r="F209" t="inlineStr">
        <is>
          <t>Surabhi Choudhary</t>
        </is>
      </c>
      <c r="G209" t="inlineStr">
        <is>
          <t>Done</t>
        </is>
      </c>
      <c r="H209" t="inlineStr"/>
      <c r="I209" t="inlineStr">
        <is>
          <t>P1</t>
        </is>
      </c>
      <c r="J209" s="30" t="n">
        <v>46112</v>
      </c>
      <c r="L209" s="30" t="n">
        <v>46133</v>
      </c>
      <c r="M209" t="inlineStr">
        <is>
          <t>sprint-Hanna</t>
        </is>
      </c>
      <c r="N209" s="11" t="n">
        <v>1</v>
      </c>
      <c r="O209" s="11" t="n">
        <v>1</v>
      </c>
      <c r="P209" t="inlineStr">
        <is>
          <t>FILTER</t>
        </is>
      </c>
      <c r="Q209" t="inlineStr"/>
      <c r="R209" t="inlineStr"/>
      <c r="S209" t="inlineStr"/>
    </row>
    <row r="210">
      <c r="A210" t="inlineStr">
        <is>
          <t>QA</t>
        </is>
      </c>
      <c r="B210" s="29" t="inlineStr">
        <is>
          <t>FILTER-13078</t>
        </is>
      </c>
      <c r="C210" s="21" t="inlineStr">
        <is>
          <t>SPROX Manual Testing Phase 1</t>
        </is>
      </c>
      <c r="D210" t="inlineStr">
        <is>
          <t>FILTER-12200</t>
        </is>
      </c>
      <c r="E210" t="inlineStr">
        <is>
          <t>Task</t>
        </is>
      </c>
      <c r="F210" t="inlineStr">
        <is>
          <t>Surabhi Choudhary</t>
        </is>
      </c>
      <c r="G210" t="inlineStr">
        <is>
          <t>Done</t>
        </is>
      </c>
      <c r="H210" t="inlineStr"/>
      <c r="I210" t="inlineStr">
        <is>
          <t>P2</t>
        </is>
      </c>
      <c r="J210" s="30" t="n">
        <v>46113</v>
      </c>
      <c r="L210" s="30" t="n">
        <v>46137</v>
      </c>
      <c r="M210" t="inlineStr">
        <is>
          <t>sprint-Hanna</t>
        </is>
      </c>
      <c r="N210" s="11" t="n">
        <v>24</v>
      </c>
      <c r="O210" s="11" t="n">
        <v>24</v>
      </c>
      <c r="P210" t="inlineStr">
        <is>
          <t>FILTER</t>
        </is>
      </c>
      <c r="Q210" t="inlineStr"/>
      <c r="R210" t="inlineStr"/>
      <c r="S210" t="inlineStr"/>
    </row>
    <row r="211">
      <c r="A211" t="inlineStr">
        <is>
          <t>QA</t>
        </is>
      </c>
      <c r="B211" s="29" t="inlineStr">
        <is>
          <t>FILTER-13079</t>
        </is>
      </c>
      <c r="C211" s="21" t="inlineStr">
        <is>
          <t>Manual Testing Tokenization service for GO Extension</t>
        </is>
      </c>
      <c r="D211" t="inlineStr">
        <is>
          <t>FILTER-11631</t>
        </is>
      </c>
      <c r="E211" t="inlineStr">
        <is>
          <t>Story</t>
        </is>
      </c>
      <c r="F211" t="inlineStr">
        <is>
          <t>Surabhi Choudhary</t>
        </is>
      </c>
      <c r="G211" t="inlineStr">
        <is>
          <t>Done</t>
        </is>
      </c>
      <c r="H211" t="inlineStr"/>
      <c r="I211" t="inlineStr">
        <is>
          <t>P2</t>
        </is>
      </c>
      <c r="J211" s="30" t="n">
        <v>46113</v>
      </c>
      <c r="L211" s="30" t="n">
        <v>46126</v>
      </c>
      <c r="M211" t="inlineStr">
        <is>
          <t>sprint-Hanna</t>
        </is>
      </c>
      <c r="N211" s="11" t="n">
        <v>24</v>
      </c>
      <c r="O211" s="11" t="n">
        <v>24</v>
      </c>
      <c r="P211" t="inlineStr">
        <is>
          <t>FILTER</t>
        </is>
      </c>
      <c r="Q211" t="inlineStr">
        <is>
          <t>Capitalized-Feature</t>
        </is>
      </c>
      <c r="R211" t="inlineStr"/>
      <c r="S211" t="inlineStr"/>
    </row>
    <row r="212">
      <c r="A212" t="inlineStr">
        <is>
          <t>Task</t>
        </is>
      </c>
      <c r="B212" s="29" t="inlineStr">
        <is>
          <t>FILTER-13288</t>
        </is>
      </c>
      <c r="C212" s="21" t="inlineStr">
        <is>
          <t>SPROX Manual Testing Phase 2</t>
        </is>
      </c>
      <c r="D212" t="inlineStr"/>
      <c r="E212" t="inlineStr"/>
      <c r="F212" t="inlineStr">
        <is>
          <t>Surabhi Choudhary</t>
        </is>
      </c>
      <c r="G212" t="inlineStr">
        <is>
          <t>QA Verified</t>
        </is>
      </c>
      <c r="H212" t="inlineStr"/>
      <c r="I212" t="inlineStr">
        <is>
          <t>P2</t>
        </is>
      </c>
      <c r="J212" s="30" t="n">
        <v>46119</v>
      </c>
      <c r="L212" s="30" t="n">
        <v>46137</v>
      </c>
      <c r="M212" t="inlineStr">
        <is>
          <t>sprint-Hanna</t>
        </is>
      </c>
      <c r="N212" s="11" t="n">
        <v>32</v>
      </c>
      <c r="O212" s="11" t="n">
        <v>0</v>
      </c>
      <c r="P212" t="inlineStr">
        <is>
          <t>FILTER</t>
        </is>
      </c>
      <c r="Q212" t="inlineStr"/>
      <c r="R212" t="inlineStr"/>
      <c r="S212" t="inlineStr"/>
    </row>
    <row r="213">
      <c r="A213" t="inlineStr">
        <is>
          <t>QA</t>
        </is>
      </c>
      <c r="B213" s="29" t="inlineStr">
        <is>
          <t>FILTER-13289</t>
        </is>
      </c>
      <c r="C213" s="21" t="inlineStr">
        <is>
          <t>SPROX Manual Testing Phase 2</t>
        </is>
      </c>
      <c r="D213" t="inlineStr">
        <is>
          <t>FILTER-13288</t>
        </is>
      </c>
      <c r="E213" t="inlineStr">
        <is>
          <t>Task</t>
        </is>
      </c>
      <c r="F213" t="inlineStr">
        <is>
          <t>Surabhi Choudhary</t>
        </is>
      </c>
      <c r="G213" t="inlineStr">
        <is>
          <t>Done</t>
        </is>
      </c>
      <c r="H213" t="inlineStr"/>
      <c r="I213" t="inlineStr">
        <is>
          <t>P2</t>
        </is>
      </c>
      <c r="J213" s="30" t="n">
        <v>46119</v>
      </c>
      <c r="L213" s="30" t="n">
        <v>46136</v>
      </c>
      <c r="M213" t="inlineStr">
        <is>
          <t>sprint-Hanna</t>
        </is>
      </c>
      <c r="N213" s="11" t="n">
        <v>24</v>
      </c>
      <c r="O213" s="11" t="n">
        <v>24</v>
      </c>
      <c r="P213" t="inlineStr">
        <is>
          <t>FILTER</t>
        </is>
      </c>
      <c r="Q213" t="inlineStr"/>
      <c r="R213" t="inlineStr"/>
      <c r="S213" t="inlineStr"/>
    </row>
    <row r="214">
      <c r="A214" t="inlineStr">
        <is>
          <t>QA</t>
        </is>
      </c>
      <c r="B214" s="29" t="inlineStr">
        <is>
          <t>FILTER-13300</t>
        </is>
      </c>
      <c r="C214" s="21" t="inlineStr">
        <is>
          <t>QA- NewFeatureBug. GO DNS: Temporary UserToken is generated even when platform service is available</t>
        </is>
      </c>
      <c r="D214" t="inlineStr">
        <is>
          <t>FILTER-13298</t>
        </is>
      </c>
      <c r="E214" t="inlineStr">
        <is>
          <t>Defect</t>
        </is>
      </c>
      <c r="F214" t="inlineStr">
        <is>
          <t>Surabhi Choudhary</t>
        </is>
      </c>
      <c r="G214" t="inlineStr">
        <is>
          <t>Done</t>
        </is>
      </c>
      <c r="H214" t="inlineStr"/>
      <c r="I214" t="inlineStr">
        <is>
          <t>P1</t>
        </is>
      </c>
      <c r="J214" s="30" t="n">
        <v>46119</v>
      </c>
      <c r="L214" s="30" t="n">
        <v>46135</v>
      </c>
      <c r="M214" t="inlineStr">
        <is>
          <t>sprint-Hanna</t>
        </is>
      </c>
      <c r="N214" s="11" t="n">
        <v>1</v>
      </c>
      <c r="O214" s="11" t="n">
        <v>1</v>
      </c>
      <c r="P214" t="inlineStr">
        <is>
          <t>FILTER</t>
        </is>
      </c>
      <c r="Q214" t="inlineStr"/>
      <c r="R214" t="inlineStr"/>
      <c r="S214" t="inlineStr"/>
    </row>
    <row r="215">
      <c r="A215" t="inlineStr">
        <is>
          <t>QA</t>
        </is>
      </c>
      <c r="B215" s="29" t="inlineStr">
        <is>
          <t>FILTER-13312</t>
        </is>
      </c>
      <c r="C215" s="21" t="inlineStr">
        <is>
          <t>QA- NewFeatureBug. GO SPAC: UserToken not present for verbose logs</t>
        </is>
      </c>
      <c r="D215" t="inlineStr">
        <is>
          <t>FILTER-13310</t>
        </is>
      </c>
      <c r="E215" t="inlineStr">
        <is>
          <t>Defect</t>
        </is>
      </c>
      <c r="F215" t="inlineStr">
        <is>
          <t>Surabhi Choudhary</t>
        </is>
      </c>
      <c r="G215" t="inlineStr">
        <is>
          <t>Done</t>
        </is>
      </c>
      <c r="H215" t="inlineStr"/>
      <c r="I215" t="inlineStr">
        <is>
          <t>P2</t>
        </is>
      </c>
      <c r="J215" s="30" t="n">
        <v>46119</v>
      </c>
      <c r="L215" s="30" t="n">
        <v>46135</v>
      </c>
      <c r="M215" t="inlineStr">
        <is>
          <t>sprint-Hanna</t>
        </is>
      </c>
      <c r="N215" s="11" t="n">
        <v>1</v>
      </c>
      <c r="O215" s="11" t="n">
        <v>1</v>
      </c>
      <c r="P215" t="inlineStr">
        <is>
          <t>FILTER</t>
        </is>
      </c>
      <c r="Q215" t="inlineStr"/>
      <c r="R215" t="inlineStr"/>
      <c r="S215" t="inlineStr"/>
    </row>
    <row r="216">
      <c r="A216" t="inlineStr">
        <is>
          <t>QA</t>
        </is>
      </c>
      <c r="B216" s="29" t="inlineStr">
        <is>
          <t>FILTER-13346</t>
        </is>
      </c>
      <c r="C216" s="21" t="inlineStr">
        <is>
          <t>QA- NewFeatureBug. SPAC: After anonymous user log, activities do not have userToken</t>
        </is>
      </c>
      <c r="D216" t="inlineStr">
        <is>
          <t>FILTER-13344</t>
        </is>
      </c>
      <c r="E216" t="inlineStr">
        <is>
          <t>Defect</t>
        </is>
      </c>
      <c r="F216" t="inlineStr">
        <is>
          <t>Surabhi Choudhary</t>
        </is>
      </c>
      <c r="G216" t="inlineStr">
        <is>
          <t>Done</t>
        </is>
      </c>
      <c r="H216" t="inlineStr"/>
      <c r="I216" t="inlineStr">
        <is>
          <t>P1</t>
        </is>
      </c>
      <c r="J216" s="30" t="n">
        <v>46120</v>
      </c>
      <c r="L216" s="30" t="n">
        <v>46135</v>
      </c>
      <c r="M216" t="inlineStr">
        <is>
          <t>sprint-Hanna</t>
        </is>
      </c>
      <c r="N216" s="11" t="n">
        <v>1</v>
      </c>
      <c r="O216" s="11" t="n">
        <v>1</v>
      </c>
      <c r="P216" t="inlineStr">
        <is>
          <t>FILTER</t>
        </is>
      </c>
      <c r="Q216" t="inlineStr"/>
      <c r="R216" t="inlineStr"/>
      <c r="S216" t="inlineStr"/>
    </row>
    <row r="217">
      <c r="A217" t="inlineStr">
        <is>
          <t>QA</t>
        </is>
      </c>
      <c r="B217" s="29" t="inlineStr">
        <is>
          <t>FILTER-13354</t>
        </is>
      </c>
      <c r="C217" s="21" t="inlineStr">
        <is>
          <t>QA- NewFeatureBug. SPAC: userToken not created when Force logins is ON</t>
        </is>
      </c>
      <c r="D217" t="inlineStr">
        <is>
          <t>FILTER-13352</t>
        </is>
      </c>
      <c r="E217" t="inlineStr">
        <is>
          <t>Defect</t>
        </is>
      </c>
      <c r="F217" t="inlineStr">
        <is>
          <t>Surabhi Choudhary</t>
        </is>
      </c>
      <c r="G217" t="inlineStr">
        <is>
          <t>Done</t>
        </is>
      </c>
      <c r="H217" t="inlineStr"/>
      <c r="I217" t="inlineStr">
        <is>
          <t>P1</t>
        </is>
      </c>
      <c r="J217" s="30" t="n">
        <v>46120</v>
      </c>
      <c r="L217" s="30" t="n">
        <v>46135</v>
      </c>
      <c r="M217" t="inlineStr">
        <is>
          <t>sprint-Hanna</t>
        </is>
      </c>
      <c r="N217" s="11" t="n">
        <v>1</v>
      </c>
      <c r="O217" s="11" t="n">
        <v>1</v>
      </c>
      <c r="P217" t="inlineStr">
        <is>
          <t>FILTER</t>
        </is>
      </c>
      <c r="Q217" t="inlineStr"/>
      <c r="R217" t="inlineStr"/>
      <c r="S217" t="inlineStr"/>
    </row>
    <row r="218">
      <c r="A218" t="inlineStr">
        <is>
          <t>QA</t>
        </is>
      </c>
      <c r="B218" s="29" t="inlineStr">
        <is>
          <t>FILTER-13444</t>
        </is>
      </c>
      <c r="C218" s="21" t="inlineStr">
        <is>
          <t>QA- SPROX: suicide.org throws Bad Request error</t>
        </is>
      </c>
      <c r="D218" t="inlineStr">
        <is>
          <t>FILTER-13442</t>
        </is>
      </c>
      <c r="E218" t="inlineStr">
        <is>
          <t>Defect</t>
        </is>
      </c>
      <c r="F218" t="inlineStr">
        <is>
          <t>Surabhi Choudhary</t>
        </is>
      </c>
      <c r="G218" t="inlineStr">
        <is>
          <t>Done</t>
        </is>
      </c>
      <c r="H218" t="inlineStr"/>
      <c r="I218" t="inlineStr">
        <is>
          <t>P1</t>
        </is>
      </c>
      <c r="J218" s="30" t="n">
        <v>46122</v>
      </c>
      <c r="L218" s="30" t="n">
        <v>46128</v>
      </c>
      <c r="M218" t="inlineStr">
        <is>
          <t>sprint-Hanna</t>
        </is>
      </c>
      <c r="N218" s="11" t="n">
        <v>0.5</v>
      </c>
      <c r="O218" s="11" t="n">
        <v>0.5</v>
      </c>
      <c r="P218" t="inlineStr">
        <is>
          <t>FILTER</t>
        </is>
      </c>
      <c r="Q218" t="inlineStr"/>
      <c r="R218" t="inlineStr"/>
      <c r="S218" t="inlineStr"/>
    </row>
    <row r="219">
      <c r="A219" t="inlineStr">
        <is>
          <t>QA</t>
        </is>
      </c>
      <c r="B219" s="29" t="inlineStr">
        <is>
          <t>FILTER-13484</t>
        </is>
      </c>
      <c r="C219" s="21" t="inlineStr">
        <is>
          <t>QA- SPROX: baidu.com suspicious searches are not logged</t>
        </is>
      </c>
      <c r="D219" t="inlineStr">
        <is>
          <t>FILTER-13482</t>
        </is>
      </c>
      <c r="E219" t="inlineStr">
        <is>
          <t>Defect</t>
        </is>
      </c>
      <c r="F219" t="inlineStr">
        <is>
          <t>Surabhi Choudhary</t>
        </is>
      </c>
      <c r="G219" t="inlineStr">
        <is>
          <t>Done</t>
        </is>
      </c>
      <c r="H219" t="inlineStr"/>
      <c r="I219" t="inlineStr">
        <is>
          <t>P1</t>
        </is>
      </c>
      <c r="J219" s="30" t="n">
        <v>46123</v>
      </c>
      <c r="L219" s="30" t="n">
        <v>46128</v>
      </c>
      <c r="M219" t="inlineStr">
        <is>
          <t>sprint-Hanna</t>
        </is>
      </c>
      <c r="N219" s="11" t="n">
        <v>0.5</v>
      </c>
      <c r="O219" s="11" t="n">
        <v>0.5</v>
      </c>
      <c r="P219" t="inlineStr">
        <is>
          <t>FILTER</t>
        </is>
      </c>
      <c r="Q219" t="inlineStr"/>
      <c r="R219" t="inlineStr"/>
      <c r="S219" t="inlineStr"/>
    </row>
    <row r="220">
      <c r="A220" t="inlineStr">
        <is>
          <t>QA</t>
        </is>
      </c>
      <c r="B220" s="29" t="inlineStr">
        <is>
          <t>FILTER-13488</t>
        </is>
      </c>
      <c r="C220" s="21" t="inlineStr">
        <is>
          <t>QA- SPROX: wikipedia searches are not logged when search is made from bookmark</t>
        </is>
      </c>
      <c r="D220" t="inlineStr">
        <is>
          <t>FILTER-13486</t>
        </is>
      </c>
      <c r="E220" t="inlineStr">
        <is>
          <t>Defect</t>
        </is>
      </c>
      <c r="F220" t="inlineStr">
        <is>
          <t>Surabhi Choudhary</t>
        </is>
      </c>
      <c r="G220" t="inlineStr">
        <is>
          <t>Done</t>
        </is>
      </c>
      <c r="H220" t="inlineStr"/>
      <c r="I220" t="inlineStr">
        <is>
          <t>P2</t>
        </is>
      </c>
      <c r="J220" s="30" t="n">
        <v>46123</v>
      </c>
      <c r="L220" s="30" t="n">
        <v>46129</v>
      </c>
      <c r="M220" t="inlineStr">
        <is>
          <t>sprint-Hanna</t>
        </is>
      </c>
      <c r="N220" s="11" t="n">
        <v>0.5</v>
      </c>
      <c r="O220" s="11" t="n">
        <v>0.5</v>
      </c>
      <c r="P220" t="inlineStr">
        <is>
          <t>FILTER</t>
        </is>
      </c>
      <c r="Q220" t="inlineStr"/>
      <c r="R220" t="inlineStr"/>
      <c r="S220" t="inlineStr"/>
    </row>
    <row r="221">
      <c r="A221" t="inlineStr">
        <is>
          <t>QA</t>
        </is>
      </c>
      <c r="B221" s="29" t="inlineStr">
        <is>
          <t>FILTER-13492</t>
        </is>
      </c>
      <c r="C221" s="21" t="inlineStr">
        <is>
          <t>QA- SPROX: ask.com suspicious &amp; allowed searches are not logged</t>
        </is>
      </c>
      <c r="D221" t="inlineStr">
        <is>
          <t>FILTER-13490</t>
        </is>
      </c>
      <c r="E221" t="inlineStr">
        <is>
          <t>Defect</t>
        </is>
      </c>
      <c r="F221" t="inlineStr">
        <is>
          <t>Surabhi Choudhary</t>
        </is>
      </c>
      <c r="G221" t="inlineStr">
        <is>
          <t>Done</t>
        </is>
      </c>
      <c r="H221" t="inlineStr"/>
      <c r="I221" t="inlineStr">
        <is>
          <t>P1</t>
        </is>
      </c>
      <c r="J221" s="30" t="n">
        <v>46123</v>
      </c>
      <c r="L221" s="30" t="n">
        <v>46128</v>
      </c>
      <c r="M221" t="inlineStr">
        <is>
          <t>sprint-Hanna</t>
        </is>
      </c>
      <c r="N221" s="11" t="n">
        <v>0.5</v>
      </c>
      <c r="O221" s="11" t="n">
        <v>0.5</v>
      </c>
      <c r="P221" t="inlineStr">
        <is>
          <t>FILTER</t>
        </is>
      </c>
      <c r="Q221" t="inlineStr"/>
      <c r="R221" t="inlineStr"/>
      <c r="S221" t="inlineStr"/>
    </row>
    <row r="222">
      <c r="A222" t="inlineStr">
        <is>
          <t>QA</t>
        </is>
      </c>
      <c r="B222" s="29" t="inlineStr">
        <is>
          <t>FILTER-13505</t>
        </is>
      </c>
      <c r="C222" s="21" t="inlineStr">
        <is>
          <t>QA- CLONE - SPROX: Wrong category logged</t>
        </is>
      </c>
      <c r="D222" t="inlineStr">
        <is>
          <t>FILTER-13503</t>
        </is>
      </c>
      <c r="E222" t="inlineStr">
        <is>
          <t>Defect</t>
        </is>
      </c>
      <c r="F222" t="inlineStr">
        <is>
          <t>Surabhi Choudhary</t>
        </is>
      </c>
      <c r="G222" t="inlineStr">
        <is>
          <t>Done</t>
        </is>
      </c>
      <c r="H222" t="inlineStr"/>
      <c r="I222" t="inlineStr">
        <is>
          <t>P1</t>
        </is>
      </c>
      <c r="J222" s="30" t="n">
        <v>46125</v>
      </c>
      <c r="L222" s="30" t="n">
        <v>46129</v>
      </c>
      <c r="M222" t="inlineStr">
        <is>
          <t>sprint-Hanna</t>
        </is>
      </c>
      <c r="N222" s="11" t="n">
        <v>2</v>
      </c>
      <c r="O222" s="11" t="n">
        <v>2</v>
      </c>
      <c r="P222" t="inlineStr">
        <is>
          <t>FILTER</t>
        </is>
      </c>
      <c r="Q222" t="inlineStr"/>
      <c r="R222" t="inlineStr"/>
      <c r="S222" t="inlineStr"/>
    </row>
    <row r="223">
      <c r="A223" t="inlineStr">
        <is>
          <t>QA</t>
        </is>
      </c>
      <c r="B223" s="29" t="inlineStr">
        <is>
          <t>FILTER-13509</t>
        </is>
      </c>
      <c r="C223" s="21" t="inlineStr">
        <is>
          <t>QA- SPROX: Incorrect policy logging</t>
        </is>
      </c>
      <c r="D223" t="inlineStr">
        <is>
          <t>FILTER-13507</t>
        </is>
      </c>
      <c r="E223" t="inlineStr">
        <is>
          <t>Defect</t>
        </is>
      </c>
      <c r="F223" t="inlineStr">
        <is>
          <t>Surabhi Choudhary</t>
        </is>
      </c>
      <c r="G223" t="inlineStr">
        <is>
          <t>Closed without action</t>
        </is>
      </c>
      <c r="H223" t="inlineStr"/>
      <c r="I223" t="inlineStr">
        <is>
          <t>P1</t>
        </is>
      </c>
      <c r="J223" s="30" t="n">
        <v>46125</v>
      </c>
      <c r="L223" s="30" t="n">
        <v>46126</v>
      </c>
      <c r="M223" t="inlineStr">
        <is>
          <t>sprint-Hanna</t>
        </is>
      </c>
      <c r="N223" s="11" t="n">
        <v>0</v>
      </c>
      <c r="O223" s="11" t="n">
        <v>0</v>
      </c>
      <c r="P223" t="inlineStr">
        <is>
          <t>FILTER</t>
        </is>
      </c>
      <c r="Q223" t="inlineStr"/>
      <c r="R223" t="inlineStr"/>
      <c r="S223" t="inlineStr"/>
    </row>
    <row r="224">
      <c r="A224" t="inlineStr">
        <is>
          <t>QA</t>
        </is>
      </c>
      <c r="B224" s="29" t="inlineStr">
        <is>
          <t>FILTER-13520</t>
        </is>
      </c>
      <c r="C224" s="21" t="inlineStr">
        <is>
          <t>QA- SPROX: Search engines do not get blocked when category is Other Search Engine</t>
        </is>
      </c>
      <c r="D224" t="inlineStr">
        <is>
          <t>FILTER-13518</t>
        </is>
      </c>
      <c r="E224" t="inlineStr">
        <is>
          <t>Defect</t>
        </is>
      </c>
      <c r="F224" t="inlineStr">
        <is>
          <t>Surabhi Choudhary</t>
        </is>
      </c>
      <c r="G224" t="inlineStr">
        <is>
          <t>Done</t>
        </is>
      </c>
      <c r="H224" t="inlineStr"/>
      <c r="I224" t="inlineStr">
        <is>
          <t>P1</t>
        </is>
      </c>
      <c r="J224" s="30" t="n">
        <v>46126</v>
      </c>
      <c r="L224" s="30" t="n">
        <v>46129</v>
      </c>
      <c r="M224" t="inlineStr">
        <is>
          <t>sprint-Hanna</t>
        </is>
      </c>
      <c r="N224" s="11" t="n">
        <v>1</v>
      </c>
      <c r="O224" s="11" t="n">
        <v>1</v>
      </c>
      <c r="P224" t="inlineStr">
        <is>
          <t>FILTER</t>
        </is>
      </c>
      <c r="Q224" t="inlineStr"/>
      <c r="R224" t="inlineStr"/>
      <c r="S224" t="inlineStr"/>
    </row>
    <row r="225">
      <c r="A225" t="inlineStr">
        <is>
          <t>QA</t>
        </is>
      </c>
      <c r="B225" s="29" t="inlineStr">
        <is>
          <t>FILTER-13528</t>
        </is>
      </c>
      <c r="C225" s="21" t="inlineStr">
        <is>
          <t>QA- SPROX: YT keyword block is not getting logged</t>
        </is>
      </c>
      <c r="D225" t="inlineStr">
        <is>
          <t>FILTER-13526</t>
        </is>
      </c>
      <c r="E225" t="inlineStr">
        <is>
          <t>Defect</t>
        </is>
      </c>
      <c r="F225" t="inlineStr">
        <is>
          <t>Surabhi Choudhary</t>
        </is>
      </c>
      <c r="G225" t="inlineStr">
        <is>
          <t>Done</t>
        </is>
      </c>
      <c r="H225" t="inlineStr"/>
      <c r="I225" t="inlineStr">
        <is>
          <t>P1</t>
        </is>
      </c>
      <c r="J225" s="30" t="n">
        <v>46126</v>
      </c>
      <c r="L225" s="30" t="n">
        <v>46136</v>
      </c>
      <c r="M225" t="inlineStr">
        <is>
          <t>sprint-Hanna</t>
        </is>
      </c>
      <c r="N225" s="11" t="n">
        <v>0.5</v>
      </c>
      <c r="O225" s="11" t="n">
        <v>0.5</v>
      </c>
      <c r="P225" t="inlineStr">
        <is>
          <t>FILTER</t>
        </is>
      </c>
      <c r="Q225" t="inlineStr"/>
      <c r="R225" t="inlineStr"/>
      <c r="S225" t="inlineStr"/>
    </row>
    <row r="226">
      <c r="A226" t="inlineStr">
        <is>
          <t>QA</t>
        </is>
      </c>
      <c r="B226" s="29" t="inlineStr">
        <is>
          <t>FILTER-13552</t>
        </is>
      </c>
      <c r="C226" s="21" t="inlineStr">
        <is>
          <t>QA - SPROX - Changes to Onboard Beta FIDs</t>
        </is>
      </c>
      <c r="D226" t="inlineStr">
        <is>
          <t>FILTER-13550</t>
        </is>
      </c>
      <c r="E226" t="inlineStr">
        <is>
          <t>Story</t>
        </is>
      </c>
      <c r="F226" t="inlineStr">
        <is>
          <t>Surabhi Choudhary</t>
        </is>
      </c>
      <c r="G226" t="inlineStr">
        <is>
          <t>Done</t>
        </is>
      </c>
      <c r="H226" t="inlineStr"/>
      <c r="I226" t="inlineStr">
        <is>
          <t>P1</t>
        </is>
      </c>
      <c r="J226" s="30" t="n">
        <v>46127</v>
      </c>
      <c r="L226" s="30" t="n">
        <v>46134</v>
      </c>
      <c r="M226" t="inlineStr">
        <is>
          <t>sprint-Hanna</t>
        </is>
      </c>
      <c r="N226" s="11" t="n">
        <v>9.5</v>
      </c>
      <c r="O226" s="11" t="n">
        <v>4</v>
      </c>
      <c r="P226" t="inlineStr">
        <is>
          <t>FILTER</t>
        </is>
      </c>
      <c r="Q226" t="inlineStr"/>
      <c r="R226" t="inlineStr"/>
      <c r="S226" t="inlineStr"/>
    </row>
    <row r="227">
      <c r="A227" t="inlineStr">
        <is>
          <t>QA</t>
        </is>
      </c>
      <c r="B227" s="29" t="inlineStr">
        <is>
          <t>FILTER-13559</t>
        </is>
      </c>
      <c r="C227" s="21" t="inlineStr">
        <is>
          <t>QA- SPROX: GO DNS. Suspicious and allowed searches on any search engine is not getting logged</t>
        </is>
      </c>
      <c r="D227" t="inlineStr">
        <is>
          <t>FILTER-13556</t>
        </is>
      </c>
      <c r="E227" t="inlineStr">
        <is>
          <t>Defect</t>
        </is>
      </c>
      <c r="F227" t="inlineStr">
        <is>
          <t>Surabhi Choudhary</t>
        </is>
      </c>
      <c r="G227" t="inlineStr">
        <is>
          <t>Closed without action</t>
        </is>
      </c>
      <c r="H227" t="inlineStr"/>
      <c r="I227" t="inlineStr">
        <is>
          <t>P1</t>
        </is>
      </c>
      <c r="J227" s="30" t="n">
        <v>46127</v>
      </c>
      <c r="L227" s="30" t="n">
        <v>46135</v>
      </c>
      <c r="M227" t="inlineStr">
        <is>
          <t>sprint-Hanna</t>
        </is>
      </c>
      <c r="N227" s="11" t="n">
        <v>0</v>
      </c>
      <c r="O227" s="11" t="n">
        <v>0</v>
      </c>
      <c r="P227" t="inlineStr">
        <is>
          <t>FILTER</t>
        </is>
      </c>
      <c r="Q227" t="inlineStr"/>
      <c r="R227" t="inlineStr"/>
      <c r="S227" t="inlineStr"/>
    </row>
    <row r="228">
      <c r="A228" t="inlineStr">
        <is>
          <t>QA</t>
        </is>
      </c>
      <c r="B228" s="29" t="inlineStr">
        <is>
          <t>FILTER-13560</t>
        </is>
      </c>
      <c r="C228" s="21" t="inlineStr">
        <is>
          <t>QA- SPROX: GO DNS. Suspicious and allowed searches on any search engine is not getting logged</t>
        </is>
      </c>
      <c r="D228" t="inlineStr">
        <is>
          <t>FILTER-13556</t>
        </is>
      </c>
      <c r="E228" t="inlineStr">
        <is>
          <t>Defect</t>
        </is>
      </c>
      <c r="F228" t="inlineStr">
        <is>
          <t>Surabhi Choudhary</t>
        </is>
      </c>
      <c r="G228" t="inlineStr">
        <is>
          <t>Closed without action</t>
        </is>
      </c>
      <c r="H228" t="inlineStr"/>
      <c r="I228" t="inlineStr">
        <is>
          <t>P1</t>
        </is>
      </c>
      <c r="J228" s="30" t="n">
        <v>46127</v>
      </c>
      <c r="L228" s="30" t="n">
        <v>46128</v>
      </c>
      <c r="M228" t="inlineStr">
        <is>
          <t>sprint-Hanna</t>
        </is>
      </c>
      <c r="N228" s="11" t="n">
        <v>0</v>
      </c>
      <c r="O228" s="11" t="n">
        <v>0</v>
      </c>
      <c r="P228" t="inlineStr">
        <is>
          <t>FILTER</t>
        </is>
      </c>
      <c r="Q228" t="inlineStr"/>
      <c r="R228" t="inlineStr"/>
      <c r="S228" t="inlineStr"/>
    </row>
    <row r="229">
      <c r="A229" t="inlineStr">
        <is>
          <t>QA</t>
        </is>
      </c>
      <c r="B229" s="29" t="inlineStr">
        <is>
          <t>FILTER-13565</t>
        </is>
      </c>
      <c r="C229" s="21" t="inlineStr">
        <is>
          <t>QA- SPROX: GO DNS. YouTube video logging is not happening</t>
        </is>
      </c>
      <c r="D229" t="inlineStr">
        <is>
          <t>FILTER-13562</t>
        </is>
      </c>
      <c r="E229" t="inlineStr">
        <is>
          <t>Defect</t>
        </is>
      </c>
      <c r="F229" t="inlineStr">
        <is>
          <t>Surabhi Choudhary</t>
        </is>
      </c>
      <c r="G229" t="inlineStr">
        <is>
          <t>Done</t>
        </is>
      </c>
      <c r="H229" t="inlineStr"/>
      <c r="I229" t="inlineStr">
        <is>
          <t>P1</t>
        </is>
      </c>
      <c r="J229" s="30" t="n">
        <v>46127</v>
      </c>
      <c r="L229" s="30" t="n">
        <v>46136</v>
      </c>
      <c r="M229" t="inlineStr">
        <is>
          <t>sprint-Hanna</t>
        </is>
      </c>
      <c r="N229" s="11" t="n">
        <v>1</v>
      </c>
      <c r="O229" s="11" t="n">
        <v>1</v>
      </c>
      <c r="P229" t="inlineStr">
        <is>
          <t>FILTER</t>
        </is>
      </c>
      <c r="Q229" t="inlineStr"/>
      <c r="R229" t="inlineStr"/>
      <c r="S229" t="inlineStr"/>
    </row>
    <row r="230">
      <c r="A230" t="inlineStr">
        <is>
          <t>QA</t>
        </is>
      </c>
      <c r="B230" s="29" t="inlineStr">
        <is>
          <t>FILTER-13566</t>
        </is>
      </c>
      <c r="C230" s="21" t="inlineStr">
        <is>
          <t>QA- SPROX: GO DNS. YouTube video logging is not happening</t>
        </is>
      </c>
      <c r="D230" t="inlineStr">
        <is>
          <t>FILTER-13562</t>
        </is>
      </c>
      <c r="E230" t="inlineStr">
        <is>
          <t>Defect</t>
        </is>
      </c>
      <c r="F230" t="inlineStr">
        <is>
          <t>Surabhi Choudhary</t>
        </is>
      </c>
      <c r="G230" t="inlineStr">
        <is>
          <t>Closed without action</t>
        </is>
      </c>
      <c r="H230" t="inlineStr"/>
      <c r="I230" t="inlineStr">
        <is>
          <t>P2</t>
        </is>
      </c>
      <c r="J230" s="30" t="n">
        <v>46127</v>
      </c>
      <c r="L230" s="30" t="n">
        <v>46128</v>
      </c>
      <c r="M230" t="inlineStr">
        <is>
          <t>sprint-Hanna</t>
        </is>
      </c>
      <c r="N230" s="11" t="n">
        <v>0</v>
      </c>
      <c r="O230" s="11" t="n">
        <v>0</v>
      </c>
      <c r="P230" t="inlineStr">
        <is>
          <t>FILTER</t>
        </is>
      </c>
      <c r="Q230" t="inlineStr"/>
      <c r="R230" t="inlineStr"/>
      <c r="S230" t="inlineStr"/>
    </row>
    <row r="231">
      <c r="A231" t="inlineStr">
        <is>
          <t>QA</t>
        </is>
      </c>
      <c r="B231" s="29" t="inlineStr">
        <is>
          <t>FILTER-13589</t>
        </is>
      </c>
      <c r="C231" s="21" t="inlineStr">
        <is>
          <t>QA- SPROX: GO DNS.Force Logins OFF. New categories are not getting blocked</t>
        </is>
      </c>
      <c r="D231" t="inlineStr">
        <is>
          <t>FILTER-13587</t>
        </is>
      </c>
      <c r="E231" t="inlineStr">
        <is>
          <t>Defect</t>
        </is>
      </c>
      <c r="F231" t="inlineStr">
        <is>
          <t>Surabhi Choudhary</t>
        </is>
      </c>
      <c r="G231" t="inlineStr">
        <is>
          <t>Done</t>
        </is>
      </c>
      <c r="H231" t="inlineStr"/>
      <c r="I231" t="inlineStr">
        <is>
          <t>P2</t>
        </is>
      </c>
      <c r="J231" s="30" t="n">
        <v>46128</v>
      </c>
      <c r="L231" s="30" t="n">
        <v>46136</v>
      </c>
      <c r="M231" t="inlineStr">
        <is>
          <t>sprint-Hanna</t>
        </is>
      </c>
      <c r="N231" s="11" t="n">
        <v>1</v>
      </c>
      <c r="O231" s="11" t="n">
        <v>1</v>
      </c>
      <c r="P231" t="inlineStr">
        <is>
          <t>FILTER</t>
        </is>
      </c>
      <c r="Q231" t="inlineStr"/>
      <c r="R231" t="inlineStr"/>
      <c r="S231" t="inlineStr"/>
    </row>
    <row r="232">
      <c r="A232" t="inlineStr">
        <is>
          <t>QA</t>
        </is>
      </c>
      <c r="B232" s="29" t="inlineStr">
        <is>
          <t>FILTER-13603</t>
        </is>
      </c>
      <c r="C232" s="21" t="inlineStr">
        <is>
          <t>QA- SPROX: GO DNS. Search terms not getting blocked on google.com</t>
        </is>
      </c>
      <c r="D232" t="inlineStr">
        <is>
          <t>FILTER-13601</t>
        </is>
      </c>
      <c r="E232" t="inlineStr">
        <is>
          <t>Defect</t>
        </is>
      </c>
      <c r="F232" t="inlineStr">
        <is>
          <t>Surabhi Choudhary</t>
        </is>
      </c>
      <c r="G232" t="inlineStr">
        <is>
          <t>Closed without action</t>
        </is>
      </c>
      <c r="H232" t="inlineStr"/>
      <c r="I232" t="inlineStr">
        <is>
          <t>P1</t>
        </is>
      </c>
      <c r="J232" s="30" t="n">
        <v>46128</v>
      </c>
      <c r="L232" s="30" t="n">
        <v>46135</v>
      </c>
      <c r="M232" t="inlineStr">
        <is>
          <t>sprint-Hanna</t>
        </is>
      </c>
      <c r="N232" s="11" t="n">
        <v>0</v>
      </c>
      <c r="O232" s="11" t="n">
        <v>0</v>
      </c>
      <c r="P232" t="inlineStr">
        <is>
          <t>FILTER</t>
        </is>
      </c>
      <c r="Q232" t="inlineStr"/>
      <c r="R232" t="inlineStr"/>
      <c r="S232" t="inlineStr"/>
    </row>
    <row r="233">
      <c r="A233" t="inlineStr">
        <is>
          <t>QA</t>
        </is>
      </c>
      <c r="B233" s="29" t="inlineStr">
        <is>
          <t>FILTER-13637</t>
        </is>
      </c>
      <c r="C233" s="21" t="inlineStr">
        <is>
          <t>QA- SPROX &amp; Squid: GO SPAC/DNS. Custom group policy is not applied</t>
        </is>
      </c>
      <c r="D233" t="inlineStr">
        <is>
          <t>FILTER-13635</t>
        </is>
      </c>
      <c r="E233" t="inlineStr">
        <is>
          <t>Defect</t>
        </is>
      </c>
      <c r="F233" t="inlineStr">
        <is>
          <t>Surabhi Choudhary</t>
        </is>
      </c>
      <c r="G233" t="inlineStr">
        <is>
          <t>Closed without action</t>
        </is>
      </c>
      <c r="H233" t="inlineStr"/>
      <c r="I233" t="inlineStr">
        <is>
          <t>P1</t>
        </is>
      </c>
      <c r="J233" s="30" t="n">
        <v>46129</v>
      </c>
      <c r="L233" s="30" t="n">
        <v>46132</v>
      </c>
      <c r="M233" t="inlineStr">
        <is>
          <t>sprint-Hanna</t>
        </is>
      </c>
      <c r="N233" s="11" t="n">
        <v>0</v>
      </c>
      <c r="O233" s="11" t="n">
        <v>0</v>
      </c>
      <c r="P233" t="inlineStr">
        <is>
          <t>FILTER</t>
        </is>
      </c>
      <c r="Q233" t="inlineStr"/>
      <c r="R233" t="inlineStr"/>
      <c r="S233" t="inlineStr"/>
    </row>
    <row r="234">
      <c r="A234" t="inlineStr">
        <is>
          <t>QA</t>
        </is>
      </c>
      <c r="B234" s="29" t="inlineStr">
        <is>
          <t>FILTER-13732</t>
        </is>
      </c>
      <c r="C234" s="21" t="inlineStr">
        <is>
          <t>QA- SPROX: Filter leaks within the 10 mins ban</t>
        </is>
      </c>
      <c r="D234" t="inlineStr">
        <is>
          <t>FILTER-13730</t>
        </is>
      </c>
      <c r="E234" t="inlineStr">
        <is>
          <t>Defect</t>
        </is>
      </c>
      <c r="F234" t="inlineStr">
        <is>
          <t>Surabhi Choudhary</t>
        </is>
      </c>
      <c r="G234" t="inlineStr">
        <is>
          <t>Done</t>
        </is>
      </c>
      <c r="H234" t="inlineStr"/>
      <c r="I234" t="inlineStr">
        <is>
          <t>P2</t>
        </is>
      </c>
      <c r="J234" s="30" t="n">
        <v>46134</v>
      </c>
      <c r="L234" s="30" t="n">
        <v>46135</v>
      </c>
      <c r="M234" t="inlineStr">
        <is>
          <t>sprint-Hanna</t>
        </is>
      </c>
      <c r="N234" s="11" t="n">
        <v>0.5</v>
      </c>
      <c r="O234" s="11" t="n">
        <v>0.5</v>
      </c>
      <c r="P234" t="inlineStr">
        <is>
          <t>FILTER</t>
        </is>
      </c>
      <c r="Q234" t="inlineStr"/>
      <c r="R234" t="inlineStr"/>
      <c r="S234" t="inlineStr"/>
    </row>
    <row r="235">
      <c r="A235" t="inlineStr">
        <is>
          <t>Dev</t>
        </is>
      </c>
      <c r="B235" s="29" t="inlineStr">
        <is>
          <t>FILTER-13626</t>
        </is>
      </c>
      <c r="C235" s="21" t="inlineStr">
        <is>
          <t>Check and fix deque reported issues for Filter</t>
        </is>
      </c>
      <c r="D235" t="inlineStr">
        <is>
          <t>FILTER-13620</t>
        </is>
      </c>
      <c r="E235" t="inlineStr">
        <is>
          <t>Story</t>
        </is>
      </c>
      <c r="F235" t="inlineStr">
        <is>
          <t>Swaroop Chavhan</t>
        </is>
      </c>
      <c r="G235" t="inlineStr">
        <is>
          <t>Done</t>
        </is>
      </c>
      <c r="H235" t="inlineStr"/>
      <c r="I235" t="inlineStr">
        <is>
          <t>P2</t>
        </is>
      </c>
      <c r="J235" s="30" t="n">
        <v>46129</v>
      </c>
      <c r="L235" s="30" t="n">
        <v>46134</v>
      </c>
      <c r="M235" t="inlineStr">
        <is>
          <t>sprint-Hanna</t>
        </is>
      </c>
      <c r="N235" s="11" t="n">
        <v>16</v>
      </c>
      <c r="O235" s="11" t="n">
        <v>16</v>
      </c>
      <c r="P235" t="inlineStr">
        <is>
          <t>FILTER</t>
        </is>
      </c>
      <c r="Q235" t="inlineStr"/>
      <c r="R235" t="inlineStr"/>
      <c r="S235" t="inlineStr"/>
    </row>
    <row r="236">
      <c r="A236" t="inlineStr">
        <is>
          <t>Dev</t>
        </is>
      </c>
      <c r="B236" s="29" t="inlineStr">
        <is>
          <t>FILTER-11655</t>
        </is>
      </c>
      <c r="C236" s="21" t="inlineStr">
        <is>
          <t>Fix Crextn Not Blocking Google Workspace Apps (Docs, Slides, Meet, Drive, etc.</t>
        </is>
      </c>
      <c r="D236" t="inlineStr">
        <is>
          <t>FILTER-11654</t>
        </is>
      </c>
      <c r="E236" t="inlineStr">
        <is>
          <t>Escape Defect</t>
        </is>
      </c>
      <c r="F236" t="inlineStr">
        <is>
          <t>Vaibhav Kumbhar</t>
        </is>
      </c>
      <c r="G236" t="inlineStr">
        <is>
          <t>Done</t>
        </is>
      </c>
      <c r="H236" t="inlineStr"/>
      <c r="I236" t="inlineStr">
        <is>
          <t>P1</t>
        </is>
      </c>
      <c r="J236" s="30" t="n">
        <v>46037</v>
      </c>
      <c r="L236" s="30" t="n">
        <v>46126</v>
      </c>
      <c r="M236" t="inlineStr">
        <is>
          <t>sprint-Hanna</t>
        </is>
      </c>
      <c r="N236" s="11" t="n">
        <v>16</v>
      </c>
      <c r="O236" s="11" t="n">
        <v>24</v>
      </c>
      <c r="P236" t="inlineStr">
        <is>
          <t>FILTER</t>
        </is>
      </c>
      <c r="Q236" t="inlineStr"/>
      <c r="R236" t="inlineStr"/>
      <c r="S236" t="inlineStr"/>
    </row>
    <row r="237">
      <c r="A237" t="inlineStr">
        <is>
          <t>Dev</t>
        </is>
      </c>
      <c r="B237" s="29" t="inlineStr">
        <is>
          <t>FILTER-12177</t>
        </is>
      </c>
      <c r="C237" s="21" t="inlineStr">
        <is>
          <t>Investigate and close about:blank loophole used to bypass filtering and access competitor content</t>
        </is>
      </c>
      <c r="D237" t="inlineStr">
        <is>
          <t>FILTER-12119</t>
        </is>
      </c>
      <c r="E237" t="inlineStr">
        <is>
          <t>Escape Defect</t>
        </is>
      </c>
      <c r="F237" t="inlineStr">
        <is>
          <t>Vaibhav Kumbhar</t>
        </is>
      </c>
      <c r="G237" t="inlineStr">
        <is>
          <t>Code Review</t>
        </is>
      </c>
      <c r="H237" t="inlineStr"/>
      <c r="I237" t="inlineStr">
        <is>
          <t>P1</t>
        </is>
      </c>
      <c r="J237" s="30" t="n">
        <v>46078</v>
      </c>
      <c r="L237" s="30" t="n">
        <v>46136</v>
      </c>
      <c r="M237" t="inlineStr">
        <is>
          <t>sprint-Hanna</t>
        </is>
      </c>
      <c r="N237" s="11" t="n">
        <v>20</v>
      </c>
      <c r="O237" s="11" t="n">
        <v>13</v>
      </c>
      <c r="P237" t="inlineStr">
        <is>
          <t>FILTER</t>
        </is>
      </c>
      <c r="Q237" t="inlineStr"/>
      <c r="R237" t="inlineStr"/>
      <c r="S237" t="inlineStr"/>
    </row>
    <row r="238">
      <c r="A238" t="inlineStr">
        <is>
          <t>Dev</t>
        </is>
      </c>
      <c r="B238" s="29" t="inlineStr">
        <is>
          <t>FILTER-12448</t>
        </is>
      </c>
      <c r="C238" s="21" t="inlineStr">
        <is>
          <t xml:space="preserve">DEV - Site not loading correctly with extension </t>
        </is>
      </c>
      <c r="D238" t="inlineStr">
        <is>
          <t>FILTER-12447</t>
        </is>
      </c>
      <c r="E238" t="inlineStr">
        <is>
          <t>Escape Defect</t>
        </is>
      </c>
      <c r="F238" t="inlineStr">
        <is>
          <t>Vaibhav Kumbhar</t>
        </is>
      </c>
      <c r="G238" t="inlineStr">
        <is>
          <t>Code Review</t>
        </is>
      </c>
      <c r="H238" t="inlineStr"/>
      <c r="I238" t="inlineStr">
        <is>
          <t>P3</t>
        </is>
      </c>
      <c r="J238" s="30" t="n">
        <v>46093</v>
      </c>
      <c r="L238" s="30" t="n">
        <v>46126</v>
      </c>
      <c r="M238" t="inlineStr">
        <is>
          <t>sprint-Hanna</t>
        </is>
      </c>
      <c r="N238" s="11" t="n">
        <v>11</v>
      </c>
      <c r="O238" s="11" t="n">
        <v>20</v>
      </c>
      <c r="P238" t="inlineStr">
        <is>
          <t>FILTER</t>
        </is>
      </c>
      <c r="Q238" t="inlineStr"/>
      <c r="R238" t="inlineStr"/>
      <c r="S238" t="inlineStr"/>
    </row>
    <row r="239">
      <c r="A239" t="inlineStr">
        <is>
          <t>Dev</t>
        </is>
      </c>
      <c r="B239" s="29" t="inlineStr">
        <is>
          <t>FILTER-12717</t>
        </is>
      </c>
      <c r="C239" s="21" t="inlineStr">
        <is>
          <t>DEV - TS Ext + Go. Site Approved via TWL process, gets logged in Default Policy rather than Global Policy</t>
        </is>
      </c>
      <c r="D239" t="inlineStr">
        <is>
          <t>FILTER-12716</t>
        </is>
      </c>
      <c r="E239" t="inlineStr">
        <is>
          <t>Escape Defect</t>
        </is>
      </c>
      <c r="F239" t="inlineStr">
        <is>
          <t>Vaibhav Kumbhar</t>
        </is>
      </c>
      <c r="G239" t="inlineStr">
        <is>
          <t>Done</t>
        </is>
      </c>
      <c r="H239" t="inlineStr"/>
      <c r="I239" t="inlineStr">
        <is>
          <t>P2</t>
        </is>
      </c>
      <c r="J239" s="30" t="n">
        <v>46107</v>
      </c>
      <c r="L239" s="30" t="n">
        <v>46126</v>
      </c>
      <c r="M239" t="inlineStr">
        <is>
          <t>sprint-Hanna</t>
        </is>
      </c>
      <c r="N239" s="11" t="n">
        <v>8</v>
      </c>
      <c r="O239" s="11" t="n">
        <v>6</v>
      </c>
      <c r="P239" t="inlineStr">
        <is>
          <t>FILTER</t>
        </is>
      </c>
      <c r="Q239" t="inlineStr"/>
      <c r="R239" t="inlineStr"/>
      <c r="S239" t="inlineStr"/>
    </row>
    <row r="240">
      <c r="A240" t="inlineStr">
        <is>
          <t>Dev</t>
        </is>
      </c>
      <c r="B240" s="29" t="inlineStr">
        <is>
          <t>FILTER-13049</t>
        </is>
      </c>
      <c r="C240" s="21" t="inlineStr">
        <is>
          <t>DEV - GO extension: proxy call shows success for unauthorized user</t>
        </is>
      </c>
      <c r="D240" t="inlineStr">
        <is>
          <t>FILTER-13048</t>
        </is>
      </c>
      <c r="E240" t="inlineStr">
        <is>
          <t>Defect</t>
        </is>
      </c>
      <c r="F240" t="inlineStr">
        <is>
          <t>Vaibhav Kumbhar</t>
        </is>
      </c>
      <c r="G240" t="inlineStr">
        <is>
          <t>Done</t>
        </is>
      </c>
      <c r="H240" t="inlineStr"/>
      <c r="I240" t="inlineStr">
        <is>
          <t>P1</t>
        </is>
      </c>
      <c r="J240" s="30" t="n">
        <v>46112</v>
      </c>
      <c r="L240" s="30" t="n">
        <v>46126</v>
      </c>
      <c r="M240" t="inlineStr">
        <is>
          <t>sprint-Hanna</t>
        </is>
      </c>
      <c r="N240" s="11" t="n">
        <v>6</v>
      </c>
      <c r="O240" s="11" t="n">
        <v>6</v>
      </c>
      <c r="P240" t="inlineStr">
        <is>
          <t>FILTER</t>
        </is>
      </c>
      <c r="Q240" t="inlineStr"/>
      <c r="R240" t="inlineStr"/>
      <c r="S240" t="inlineStr"/>
    </row>
    <row r="241">
      <c r="A241" t="inlineStr">
        <is>
          <t>Dev</t>
        </is>
      </c>
      <c r="B241" s="29" t="inlineStr">
        <is>
          <t>FILTER-13646</t>
        </is>
      </c>
      <c r="C241" s="21" t="inlineStr">
        <is>
          <t>DEV - [Proxy]: Send fid and userEmail to pagescan</t>
        </is>
      </c>
      <c r="D241" t="inlineStr">
        <is>
          <t>FILTER-13645</t>
        </is>
      </c>
      <c r="E241" t="inlineStr">
        <is>
          <t>Task</t>
        </is>
      </c>
      <c r="F241" t="inlineStr">
        <is>
          <t>Vaibhav Kumbhar</t>
        </is>
      </c>
      <c r="G241" t="inlineStr">
        <is>
          <t>Done</t>
        </is>
      </c>
      <c r="H241" t="inlineStr"/>
      <c r="I241" t="inlineStr">
        <is>
          <t>P1</t>
        </is>
      </c>
      <c r="J241" s="30" t="n">
        <v>46132</v>
      </c>
      <c r="L241" s="30" t="n">
        <v>46133</v>
      </c>
      <c r="M241" t="inlineStr">
        <is>
          <t>sprint-Hanna</t>
        </is>
      </c>
      <c r="N241" s="11" t="n">
        <v>6</v>
      </c>
      <c r="O241" s="11" t="n">
        <v>6</v>
      </c>
      <c r="P241" t="inlineStr">
        <is>
          <t>FILTER</t>
        </is>
      </c>
      <c r="Q241" t="inlineStr"/>
      <c r="R241" t="inlineStr"/>
      <c r="S241" t="inlineStr"/>
    </row>
  </sheetData>
  <autoFilter ref="A1:S24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3" t="inlineStr">
        <is>
          <t>Task</t>
        </is>
      </c>
      <c r="B2" s="24" t="inlineStr">
        <is>
          <t>FILTER-13553</t>
        </is>
      </c>
      <c r="C2" s="25" t="inlineStr">
        <is>
          <t>Automation UI script Enhancement:</t>
        </is>
      </c>
      <c r="D2" s="23" t="inlineStr"/>
      <c r="E2" s="23" t="inlineStr"/>
      <c r="F2" s="23" t="inlineStr">
        <is>
          <t>Amit Shete</t>
        </is>
      </c>
      <c r="G2" s="23" t="inlineStr">
        <is>
          <t>In Progress</t>
        </is>
      </c>
      <c r="H2" s="23" t="inlineStr"/>
      <c r="I2" s="23" t="inlineStr">
        <is>
          <t>P2</t>
        </is>
      </c>
      <c r="J2" s="26" t="n">
        <v>46127</v>
      </c>
      <c r="K2" s="23" t="n"/>
      <c r="L2" s="26" t="n">
        <v>46140</v>
      </c>
      <c r="M2" s="23" t="inlineStr">
        <is>
          <t>sprint-Hanna</t>
        </is>
      </c>
      <c r="N2" s="27" t="n">
        <v>1.5</v>
      </c>
      <c r="O2" s="27" t="n">
        <v>6</v>
      </c>
      <c r="P2" s="23" t="inlineStr">
        <is>
          <t>FILTER</t>
        </is>
      </c>
      <c r="Q2" s="23" t="inlineStr">
        <is>
          <t>unplanned-sprint</t>
        </is>
      </c>
      <c r="R2" s="23" t="inlineStr"/>
      <c r="S2" s="28" t="inlineStr">
        <is>
          <t>YES</t>
        </is>
      </c>
    </row>
    <row r="3">
      <c r="A3" s="23" t="inlineStr">
        <is>
          <t>Task</t>
        </is>
      </c>
      <c r="B3" s="24" t="inlineStr">
        <is>
          <t>FILTER-13554</t>
        </is>
      </c>
      <c r="C3" s="25" t="inlineStr">
        <is>
          <t>Automation API script enhancements</t>
        </is>
      </c>
      <c r="D3" s="23" t="inlineStr"/>
      <c r="E3" s="23" t="inlineStr"/>
      <c r="F3" s="23" t="inlineStr">
        <is>
          <t>Amol Mithari</t>
        </is>
      </c>
      <c r="G3" s="23" t="inlineStr">
        <is>
          <t>In Progress</t>
        </is>
      </c>
      <c r="H3" s="23" t="inlineStr"/>
      <c r="I3" s="23" t="inlineStr">
        <is>
          <t>P2</t>
        </is>
      </c>
      <c r="J3" s="26" t="n">
        <v>46127</v>
      </c>
      <c r="K3" s="23" t="n"/>
      <c r="L3" s="26" t="n">
        <v>46140</v>
      </c>
      <c r="M3" s="23" t="inlineStr">
        <is>
          <t>sprint-Hanna</t>
        </is>
      </c>
      <c r="N3" s="27" t="n">
        <v>46</v>
      </c>
      <c r="O3" s="27" t="n">
        <v>45</v>
      </c>
      <c r="P3" s="23" t="inlineStr">
        <is>
          <t>FILTER</t>
        </is>
      </c>
      <c r="Q3" s="23" t="inlineStr">
        <is>
          <t>unplanned-sprint</t>
        </is>
      </c>
      <c r="R3" s="23" t="inlineStr"/>
      <c r="S3" s="28" t="inlineStr">
        <is>
          <t>YES</t>
        </is>
      </c>
    </row>
    <row r="4">
      <c r="A4" s="23" t="inlineStr">
        <is>
          <t>Task</t>
        </is>
      </c>
      <c r="B4" s="24" t="inlineStr">
        <is>
          <t>FDSE-155</t>
        </is>
      </c>
      <c r="C4" s="25" t="inlineStr">
        <is>
          <t>Implementation for timepicker component</t>
        </is>
      </c>
      <c r="D4" s="23" t="inlineStr">
        <is>
          <t>FDSE-136</t>
        </is>
      </c>
      <c r="E4" s="23" t="inlineStr">
        <is>
          <t>Epic</t>
        </is>
      </c>
      <c r="F4" s="23" t="inlineStr">
        <is>
          <t>Swaroop Chavhan</t>
        </is>
      </c>
      <c r="G4" s="23" t="inlineStr">
        <is>
          <t>Open</t>
        </is>
      </c>
      <c r="H4" s="23" t="inlineStr"/>
      <c r="I4" s="23" t="inlineStr">
        <is>
          <t>P3</t>
        </is>
      </c>
      <c r="J4" s="26" t="n">
        <v>46051</v>
      </c>
      <c r="K4" s="23" t="n"/>
      <c r="L4" s="26" t="n">
        <v>46140</v>
      </c>
      <c r="M4" s="23" t="inlineStr">
        <is>
          <t>sprint-Hanna</t>
        </is>
      </c>
      <c r="N4" s="27" t="n">
        <v>0</v>
      </c>
      <c r="O4" s="27" t="n">
        <v>32</v>
      </c>
      <c r="P4" s="23" t="inlineStr">
        <is>
          <t>FDSE</t>
        </is>
      </c>
      <c r="Q4" s="23" t="inlineStr">
        <is>
          <t>product-filter</t>
        </is>
      </c>
      <c r="R4" s="23" t="inlineStr"/>
      <c r="S4" s="28" t="inlineStr">
        <is>
          <t>YES</t>
        </is>
      </c>
    </row>
    <row r="5">
      <c r="A5" s="23" t="inlineStr">
        <is>
          <t>Task</t>
        </is>
      </c>
      <c r="B5" s="24" t="inlineStr">
        <is>
          <t>FDSE-164</t>
        </is>
      </c>
      <c r="C5" s="25" t="inlineStr">
        <is>
          <t>Search with auto-complete component enhancement</t>
        </is>
      </c>
      <c r="D5" s="23" t="inlineStr">
        <is>
          <t>FDSE-174</t>
        </is>
      </c>
      <c r="E5" s="23" t="inlineStr">
        <is>
          <t>Epic</t>
        </is>
      </c>
      <c r="F5" s="23" t="inlineStr">
        <is>
          <t>Swaroop Chavhan</t>
        </is>
      </c>
      <c r="G5" s="23" t="inlineStr">
        <is>
          <t>Open</t>
        </is>
      </c>
      <c r="H5" s="23" t="inlineStr"/>
      <c r="I5" s="23" t="inlineStr">
        <is>
          <t>P3</t>
        </is>
      </c>
      <c r="J5" s="26" t="n">
        <v>46079</v>
      </c>
      <c r="K5" s="23" t="n"/>
      <c r="L5" s="26" t="n">
        <v>46140</v>
      </c>
      <c r="M5" s="23" t="inlineStr">
        <is>
          <t>sprint-Hanna</t>
        </is>
      </c>
      <c r="N5" s="27" t="n">
        <v>0</v>
      </c>
      <c r="O5" s="27" t="n">
        <v>20</v>
      </c>
      <c r="P5" s="23" t="inlineStr">
        <is>
          <t>FDSE</t>
        </is>
      </c>
      <c r="Q5" s="23" t="inlineStr">
        <is>
          <t>Capitalized-Feature, product-filter</t>
        </is>
      </c>
      <c r="R5" s="23" t="inlineStr"/>
      <c r="S5" s="28" t="inlineStr">
        <is>
          <t>YES</t>
        </is>
      </c>
    </row>
    <row r="6">
      <c r="A6" t="inlineStr">
        <is>
          <t>QA</t>
        </is>
      </c>
      <c r="B6" s="29" t="inlineStr">
        <is>
          <t>FILTER-12621</t>
        </is>
      </c>
      <c r="C6" s="21" t="inlineStr">
        <is>
          <t>QA- Policy Map Import not showing policy names | San Ramon</t>
        </is>
      </c>
      <c r="D6" t="inlineStr">
        <is>
          <t>FILTER-12619</t>
        </is>
      </c>
      <c r="E6" t="inlineStr">
        <is>
          <t>Escape Defect</t>
        </is>
      </c>
      <c r="F6" t="inlineStr">
        <is>
          <t>Altamash Heroli</t>
        </is>
      </c>
      <c r="G6" t="inlineStr">
        <is>
          <t>Open</t>
        </is>
      </c>
      <c r="H6" t="inlineStr"/>
      <c r="I6" t="inlineStr">
        <is>
          <t>P1</t>
        </is>
      </c>
      <c r="J6" s="30" t="n">
        <v>46104</v>
      </c>
      <c r="L6" s="30" t="n">
        <v>46138</v>
      </c>
      <c r="M6" t="inlineStr">
        <is>
          <t>sprint-Hanna</t>
        </is>
      </c>
      <c r="N6" s="11" t="n">
        <v>0</v>
      </c>
      <c r="O6" s="11" t="n">
        <v>0</v>
      </c>
      <c r="P6" t="inlineStr">
        <is>
          <t>FILTER</t>
        </is>
      </c>
      <c r="Q6" t="inlineStr"/>
      <c r="R6" t="inlineStr"/>
      <c r="S6" t="inlineStr"/>
    </row>
    <row r="7">
      <c r="A7" t="inlineStr">
        <is>
          <t>QA</t>
        </is>
      </c>
      <c r="B7" s="29" t="inlineStr">
        <is>
          <t>FILTER-12906</t>
        </is>
      </c>
      <c r="C7" s="21" t="inlineStr">
        <is>
          <t>QA- Support Tool &gt;&gt; Custom list UI. Create custom list Resource and Edit custom list Resource, drawers donot check for duplicate Custom list resource.</t>
        </is>
      </c>
      <c r="D7" t="inlineStr">
        <is>
          <t>FILTER-12904</t>
        </is>
      </c>
      <c r="E7" t="inlineStr">
        <is>
          <t>Defect</t>
        </is>
      </c>
      <c r="F7" t="inlineStr">
        <is>
          <t>Altamash Heroli</t>
        </is>
      </c>
      <c r="G7" t="inlineStr">
        <is>
          <t>Open</t>
        </is>
      </c>
      <c r="H7" t="inlineStr"/>
      <c r="I7" t="inlineStr">
        <is>
          <t>P2</t>
        </is>
      </c>
      <c r="J7" s="30" t="n">
        <v>46108</v>
      </c>
      <c r="L7" s="30" t="n">
        <v>46136</v>
      </c>
      <c r="M7" t="inlineStr">
        <is>
          <t>sprint-Hanna</t>
        </is>
      </c>
      <c r="N7" s="11" t="n">
        <v>0</v>
      </c>
      <c r="O7" s="11" t="n">
        <v>0</v>
      </c>
      <c r="P7" t="inlineStr">
        <is>
          <t>FILTER</t>
        </is>
      </c>
      <c r="Q7" t="inlineStr"/>
      <c r="R7" t="inlineStr"/>
      <c r="S7" t="inlineStr"/>
    </row>
    <row r="8">
      <c r="A8" t="inlineStr">
        <is>
          <t>QA</t>
        </is>
      </c>
      <c r="B8" s="29" t="inlineStr">
        <is>
          <t>FILTER-13644</t>
        </is>
      </c>
      <c r="C8" s="21" t="inlineStr">
        <is>
          <t>QA - Chrome Extension is causing specific form not to load</t>
        </is>
      </c>
      <c r="D8" t="inlineStr">
        <is>
          <t>FILTER-10053</t>
        </is>
      </c>
      <c r="E8" t="inlineStr">
        <is>
          <t>Escape Defect</t>
        </is>
      </c>
      <c r="F8" t="inlineStr">
        <is>
          <t>Altamash Heroli</t>
        </is>
      </c>
      <c r="G8" t="inlineStr">
        <is>
          <t>Open</t>
        </is>
      </c>
      <c r="H8" t="inlineStr"/>
      <c r="I8" t="inlineStr">
        <is>
          <t>P1</t>
        </is>
      </c>
      <c r="J8" s="30" t="n">
        <v>46132</v>
      </c>
      <c r="L8" s="30" t="n">
        <v>46132</v>
      </c>
      <c r="M8" t="inlineStr">
        <is>
          <t>sprint-Hanna</t>
        </is>
      </c>
      <c r="N8" s="11" t="n">
        <v>0</v>
      </c>
      <c r="O8" s="11" t="n">
        <v>0</v>
      </c>
      <c r="P8" t="inlineStr">
        <is>
          <t>FILTER</t>
        </is>
      </c>
      <c r="Q8" t="inlineStr"/>
      <c r="R8" t="inlineStr"/>
      <c r="S8" t="inlineStr"/>
    </row>
    <row r="9">
      <c r="A9" t="inlineStr">
        <is>
          <t>QA</t>
        </is>
      </c>
      <c r="B9" s="29" t="inlineStr">
        <is>
          <t>FILTER-13663</t>
        </is>
      </c>
      <c r="C9" s="21" t="inlineStr">
        <is>
          <t>Regression testing for Filter product</t>
        </is>
      </c>
      <c r="D9" t="inlineStr">
        <is>
          <t>FILTER-13657</t>
        </is>
      </c>
      <c r="E9" t="inlineStr">
        <is>
          <t>Story</t>
        </is>
      </c>
      <c r="F9" t="inlineStr">
        <is>
          <t>Altamash Heroli</t>
        </is>
      </c>
      <c r="G9" t="inlineStr">
        <is>
          <t>Backlog</t>
        </is>
      </c>
      <c r="H9" t="inlineStr"/>
      <c r="I9" t="inlineStr">
        <is>
          <t>P2</t>
        </is>
      </c>
      <c r="J9" s="30" t="n">
        <v>46133</v>
      </c>
      <c r="L9" s="30" t="n">
        <v>46139</v>
      </c>
      <c r="M9" t="inlineStr">
        <is>
          <t>sprint-Hanna</t>
        </is>
      </c>
      <c r="N9" s="11" t="n">
        <v>0</v>
      </c>
      <c r="O9" s="11" t="n">
        <v>0</v>
      </c>
      <c r="P9" t="inlineStr">
        <is>
          <t>FILTER</t>
        </is>
      </c>
      <c r="Q9" t="inlineStr"/>
      <c r="R9" t="inlineStr"/>
      <c r="S9" t="inlineStr"/>
    </row>
    <row r="10">
      <c r="A10" t="inlineStr">
        <is>
          <t>QA</t>
        </is>
      </c>
      <c r="B10" s="29" t="inlineStr">
        <is>
          <t>FILTER-13665</t>
        </is>
      </c>
      <c r="C10" s="21" t="inlineStr">
        <is>
          <t>Regression testing for Support-ool product</t>
        </is>
      </c>
      <c r="D10" t="inlineStr">
        <is>
          <t>FILTER-13657</t>
        </is>
      </c>
      <c r="E10" t="inlineStr">
        <is>
          <t>Story</t>
        </is>
      </c>
      <c r="F10" t="inlineStr">
        <is>
          <t>Altamash Heroli</t>
        </is>
      </c>
      <c r="G10" t="inlineStr">
        <is>
          <t>Backlog</t>
        </is>
      </c>
      <c r="H10" t="inlineStr"/>
      <c r="I10" t="inlineStr">
        <is>
          <t>P2</t>
        </is>
      </c>
      <c r="J10" s="30" t="n">
        <v>46133</v>
      </c>
      <c r="L10" s="30" t="n">
        <v>46139</v>
      </c>
      <c r="M10" t="inlineStr">
        <is>
          <t>sprint-Hanna</t>
        </is>
      </c>
      <c r="N10" s="11" t="n">
        <v>0</v>
      </c>
      <c r="O10" s="11" t="n">
        <v>0</v>
      </c>
      <c r="P10" t="inlineStr">
        <is>
          <t>FILTER</t>
        </is>
      </c>
      <c r="Q10" t="inlineStr"/>
      <c r="R10" t="inlineStr"/>
      <c r="S10" t="inlineStr"/>
    </row>
    <row r="11">
      <c r="A11" t="inlineStr">
        <is>
          <t>QA</t>
        </is>
      </c>
      <c r="B11" s="29" t="inlineStr">
        <is>
          <t>FILTER-13713</t>
        </is>
      </c>
      <c r="C11" s="21" t="inlineStr">
        <is>
          <t>QA- Support Tool &gt;&gt; Custom list UI. Need Validation for Resource and Type Mismatch</t>
        </is>
      </c>
      <c r="D11" t="inlineStr">
        <is>
          <t>FILTER-13711</t>
        </is>
      </c>
      <c r="E11" t="inlineStr">
        <is>
          <t>Defect</t>
        </is>
      </c>
      <c r="F11" t="inlineStr">
        <is>
          <t>Altamash Heroli</t>
        </is>
      </c>
      <c r="G11" t="inlineStr">
        <is>
          <t>Open</t>
        </is>
      </c>
      <c r="H11" t="inlineStr"/>
      <c r="I11" t="inlineStr">
        <is>
          <t>P3</t>
        </is>
      </c>
      <c r="J11" s="30" t="n">
        <v>46134</v>
      </c>
      <c r="L11" s="30" t="n">
        <v>46139</v>
      </c>
      <c r="M11" t="inlineStr">
        <is>
          <t>sprint-Hanna</t>
        </is>
      </c>
      <c r="N11" s="11" t="n">
        <v>0</v>
      </c>
      <c r="O11" s="11" t="n">
        <v>0</v>
      </c>
      <c r="P11" t="inlineStr">
        <is>
          <t>FILTER</t>
        </is>
      </c>
      <c r="Q11" t="inlineStr"/>
      <c r="R11" t="inlineStr"/>
      <c r="S11" t="inlineStr"/>
    </row>
    <row r="12">
      <c r="A12" t="inlineStr">
        <is>
          <t>QA</t>
        </is>
      </c>
      <c r="B12" s="29" t="inlineStr">
        <is>
          <t>FILTER-13717</t>
        </is>
      </c>
      <c r="C12" s="21" t="inlineStr">
        <is>
          <t>QA- Support Tool &gt;&gt; Custom list UI. Audit logs issues</t>
        </is>
      </c>
      <c r="D12" t="inlineStr">
        <is>
          <t>FILTER-13715</t>
        </is>
      </c>
      <c r="E12" t="inlineStr">
        <is>
          <t>Escape Defect</t>
        </is>
      </c>
      <c r="F12" t="inlineStr">
        <is>
          <t>Altamash Heroli</t>
        </is>
      </c>
      <c r="G12" t="inlineStr">
        <is>
          <t>Open</t>
        </is>
      </c>
      <c r="H12" t="inlineStr"/>
      <c r="I12" t="inlineStr">
        <is>
          <t>P3</t>
        </is>
      </c>
      <c r="J12" s="30" t="n">
        <v>46134</v>
      </c>
      <c r="L12" s="30" t="n">
        <v>46139</v>
      </c>
      <c r="M12" t="inlineStr">
        <is>
          <t>sprint-Hanna</t>
        </is>
      </c>
      <c r="N12" s="11" t="n">
        <v>0</v>
      </c>
      <c r="O12" s="11" t="n">
        <v>0</v>
      </c>
      <c r="P12" t="inlineStr">
        <is>
          <t>FILTER</t>
        </is>
      </c>
      <c r="Q12" t="inlineStr"/>
      <c r="R12" t="inlineStr"/>
      <c r="S12" t="inlineStr"/>
    </row>
    <row r="13">
      <c r="A13" t="inlineStr">
        <is>
          <t>QA</t>
        </is>
      </c>
      <c r="B13" s="29" t="inlineStr">
        <is>
          <t>FILTER-13784</t>
        </is>
      </c>
      <c r="C13" s="21" t="inlineStr">
        <is>
          <t>QA- Use common sso package - www-support-tool</t>
        </is>
      </c>
      <c r="D13" t="inlineStr">
        <is>
          <t>FILTER-13782</t>
        </is>
      </c>
      <c r="E13" t="inlineStr">
        <is>
          <t>Story</t>
        </is>
      </c>
      <c r="F13" t="inlineStr">
        <is>
          <t>Altamash Heroli</t>
        </is>
      </c>
      <c r="G13" t="inlineStr">
        <is>
          <t>Ready for QA</t>
        </is>
      </c>
      <c r="H13" t="inlineStr"/>
      <c r="I13" t="inlineStr">
        <is>
          <t>P3</t>
        </is>
      </c>
      <c r="J13" s="30" t="n">
        <v>46110</v>
      </c>
      <c r="L13" s="30" t="n">
        <v>46139</v>
      </c>
      <c r="M13" t="inlineStr">
        <is>
          <t>sprint-Hanna</t>
        </is>
      </c>
      <c r="N13" s="11" t="n">
        <v>0</v>
      </c>
      <c r="O13" s="11" t="n">
        <v>0</v>
      </c>
      <c r="P13" t="inlineStr">
        <is>
          <t>FILTER</t>
        </is>
      </c>
      <c r="Q13" t="inlineStr"/>
      <c r="R13" t="inlineStr"/>
      <c r="S13" t="inlineStr"/>
    </row>
    <row r="14">
      <c r="A14" t="inlineStr">
        <is>
          <t>QA</t>
        </is>
      </c>
      <c r="B14" s="29" t="inlineStr">
        <is>
          <t>FILTER-13787</t>
        </is>
      </c>
      <c r="C14" s="21" t="inlineStr">
        <is>
          <t>QA- Use common sso package - www-filter</t>
        </is>
      </c>
      <c r="D14" t="inlineStr">
        <is>
          <t>FILTER-13785</t>
        </is>
      </c>
      <c r="E14" t="inlineStr">
        <is>
          <t>Story</t>
        </is>
      </c>
      <c r="F14" t="inlineStr">
        <is>
          <t>Altamash Heroli</t>
        </is>
      </c>
      <c r="G14" t="inlineStr">
        <is>
          <t>Ready for QA</t>
        </is>
      </c>
      <c r="H14" t="inlineStr"/>
      <c r="I14" t="inlineStr">
        <is>
          <t>P3</t>
        </is>
      </c>
      <c r="J14" s="30" t="n">
        <v>46110</v>
      </c>
      <c r="L14" s="30" t="n">
        <v>46139</v>
      </c>
      <c r="M14" t="inlineStr">
        <is>
          <t>sprint-Hanna</t>
        </is>
      </c>
      <c r="N14" s="11" t="n">
        <v>0</v>
      </c>
      <c r="O14" s="11" t="n">
        <v>0</v>
      </c>
      <c r="P14" t="inlineStr">
        <is>
          <t>FILTER</t>
        </is>
      </c>
      <c r="Q14" t="inlineStr"/>
      <c r="R14" t="inlineStr"/>
      <c r="S14" t="inlineStr"/>
    </row>
    <row r="15">
      <c r="A15" t="inlineStr">
        <is>
          <t>QA</t>
        </is>
      </c>
      <c r="B15" s="29" t="inlineStr">
        <is>
          <t>PTGM-701</t>
        </is>
      </c>
      <c r="C15" s="21" t="inlineStr">
        <is>
          <t>Validate fix for FATAL and Panic issues in www-support-tool repo</t>
        </is>
      </c>
      <c r="D15" t="inlineStr">
        <is>
          <t>PTGM-698</t>
        </is>
      </c>
      <c r="E15" t="inlineStr">
        <is>
          <t>Story</t>
        </is>
      </c>
      <c r="F15" t="inlineStr">
        <is>
          <t>Altamash Heroli</t>
        </is>
      </c>
      <c r="G15" t="inlineStr">
        <is>
          <t>Open</t>
        </is>
      </c>
      <c r="H15" t="inlineStr"/>
      <c r="I15" t="inlineStr">
        <is>
          <t>P2</t>
        </is>
      </c>
      <c r="J15" s="30" t="n">
        <v>46125</v>
      </c>
      <c r="L15" s="30" t="n">
        <v>46126</v>
      </c>
      <c r="M15" t="inlineStr">
        <is>
          <t>sprint-Hanna</t>
        </is>
      </c>
      <c r="N15" s="11" t="n">
        <v>0</v>
      </c>
      <c r="O15" s="11" t="n">
        <v>0</v>
      </c>
      <c r="P15" t="inlineStr">
        <is>
          <t>PTGM</t>
        </is>
      </c>
      <c r="Q15" t="inlineStr"/>
      <c r="R15" t="inlineStr"/>
      <c r="S15" t="inlineStr"/>
    </row>
    <row r="16">
      <c r="A16" t="inlineStr">
        <is>
          <t>QA</t>
        </is>
      </c>
      <c r="B16" s="29" t="inlineStr">
        <is>
          <t>FILTER-11844</t>
        </is>
      </c>
      <c r="C16" s="21" t="inlineStr">
        <is>
          <t>Verify fix for SafetyConsole CustomList API - Token invalidation on re-authentication</t>
        </is>
      </c>
      <c r="D16" t="inlineStr">
        <is>
          <t>FILTER-11687</t>
        </is>
      </c>
      <c r="E16" t="inlineStr">
        <is>
          <t>Defect</t>
        </is>
      </c>
      <c r="F16" t="inlineStr">
        <is>
          <t>Amit Shete</t>
        </is>
      </c>
      <c r="G16" t="inlineStr">
        <is>
          <t>Open</t>
        </is>
      </c>
      <c r="H16" t="inlineStr"/>
      <c r="I16" t="inlineStr">
        <is>
          <t>P2</t>
        </is>
      </c>
      <c r="J16" s="30" t="n">
        <v>46051</v>
      </c>
      <c r="L16" s="30" t="n">
        <v>46139</v>
      </c>
      <c r="M16" t="inlineStr">
        <is>
          <t>sprint-Hanna</t>
        </is>
      </c>
      <c r="N16" s="11" t="n">
        <v>0</v>
      </c>
      <c r="O16" s="11" t="n">
        <v>2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9" t="inlineStr">
        <is>
          <t>FILTER-11873</t>
        </is>
      </c>
      <c r="C17" s="21" t="inlineStr">
        <is>
          <t>Verify CustomList API returns 401 when Filter Product is disabled</t>
        </is>
      </c>
      <c r="D17" t="inlineStr">
        <is>
          <t>FILTER-11688</t>
        </is>
      </c>
      <c r="E17" t="inlineStr">
        <is>
          <t>Escape Defect</t>
        </is>
      </c>
      <c r="F17" t="inlineStr">
        <is>
          <t>Amit Shete</t>
        </is>
      </c>
      <c r="G17" t="inlineStr">
        <is>
          <t>Ready for QA</t>
        </is>
      </c>
      <c r="H17" t="inlineStr"/>
      <c r="I17" t="inlineStr">
        <is>
          <t>P3</t>
        </is>
      </c>
      <c r="J17" s="30" t="n">
        <v>46051</v>
      </c>
      <c r="L17" s="30" t="n">
        <v>46139</v>
      </c>
      <c r="M17" t="inlineStr">
        <is>
          <t>sprint-Hanna</t>
        </is>
      </c>
      <c r="N17" s="11" t="n">
        <v>0</v>
      </c>
      <c r="O17" s="11" t="n">
        <v>2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Automation</t>
        </is>
      </c>
      <c r="B18" s="29" t="inlineStr">
        <is>
          <t>FILTER-12179</t>
        </is>
      </c>
      <c r="C18" s="21" t="inlineStr">
        <is>
          <t>Scripting for about:blank loophole fix – policy and redirect behavior</t>
        </is>
      </c>
      <c r="D18" t="inlineStr">
        <is>
          <t>FILTER-12119</t>
        </is>
      </c>
      <c r="E18" t="inlineStr">
        <is>
          <t>Escape Defect</t>
        </is>
      </c>
      <c r="F18" t="inlineStr">
        <is>
          <t>Amit Shete</t>
        </is>
      </c>
      <c r="G18" t="inlineStr">
        <is>
          <t>Open</t>
        </is>
      </c>
      <c r="H18" t="inlineStr"/>
      <c r="I18" t="inlineStr">
        <is>
          <t>P1</t>
        </is>
      </c>
      <c r="J18" s="30" t="n">
        <v>46078</v>
      </c>
      <c r="L18" s="30" t="n">
        <v>46126</v>
      </c>
      <c r="M18" t="inlineStr">
        <is>
          <t>sprint-Hanna</t>
        </is>
      </c>
      <c r="N18" s="11" t="n">
        <v>0</v>
      </c>
      <c r="O18" s="11" t="n">
        <v>4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Automation</t>
        </is>
      </c>
      <c r="B19" s="29" t="inlineStr">
        <is>
          <t>FILTER-12515</t>
        </is>
      </c>
      <c r="C19" s="21" t="inlineStr">
        <is>
          <t>QA- [Extension API Fortification]Tasks for Verified access api</t>
        </is>
      </c>
      <c r="D19" t="inlineStr">
        <is>
          <t>FILTER-12512</t>
        </is>
      </c>
      <c r="E19" t="inlineStr">
        <is>
          <t>Task</t>
        </is>
      </c>
      <c r="F19" t="inlineStr">
        <is>
          <t>Amit Shete</t>
        </is>
      </c>
      <c r="G19" t="inlineStr">
        <is>
          <t>Open</t>
        </is>
      </c>
      <c r="H19" t="inlineStr"/>
      <c r="I19" t="inlineStr">
        <is>
          <t>P1</t>
        </is>
      </c>
      <c r="J19" s="30" t="n">
        <v>46098</v>
      </c>
      <c r="L19" s="30" t="n">
        <v>46126</v>
      </c>
      <c r="M19" t="inlineStr">
        <is>
          <t>sprint-Hanna</t>
        </is>
      </c>
      <c r="N19" s="11" t="n">
        <v>0</v>
      </c>
      <c r="O19" s="11" t="n">
        <v>0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Automation</t>
        </is>
      </c>
      <c r="B20" s="29" t="inlineStr">
        <is>
          <t>FILTER-12622</t>
        </is>
      </c>
      <c r="C20" s="21" t="inlineStr">
        <is>
          <t>QA- Policy Map Import not showing policy names | San Ramon</t>
        </is>
      </c>
      <c r="D20" t="inlineStr">
        <is>
          <t>FILTER-12619</t>
        </is>
      </c>
      <c r="E20" t="inlineStr">
        <is>
          <t>Escape Defect</t>
        </is>
      </c>
      <c r="F20" t="inlineStr">
        <is>
          <t>Amit Shete</t>
        </is>
      </c>
      <c r="G20" t="inlineStr">
        <is>
          <t>Scripting in progress</t>
        </is>
      </c>
      <c r="H20" t="inlineStr"/>
      <c r="I20" t="inlineStr">
        <is>
          <t>P1</t>
        </is>
      </c>
      <c r="J20" s="30" t="n">
        <v>46104</v>
      </c>
      <c r="L20" s="30" t="n">
        <v>46138</v>
      </c>
      <c r="M20" t="inlineStr">
        <is>
          <t>sprint-Hanna</t>
        </is>
      </c>
      <c r="N20" s="11" t="n">
        <v>0</v>
      </c>
      <c r="O20" s="11" t="n">
        <v>3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Automation</t>
        </is>
      </c>
      <c r="B21" s="29" t="inlineStr">
        <is>
          <t>FILTER-12823</t>
        </is>
      </c>
      <c r="C21" s="21" t="inlineStr">
        <is>
          <t>QA- Windows Extn : TS - Safe search is not getting applied immediately on google search engine(Ensure that api response shows  SS enabled)</t>
        </is>
      </c>
      <c r="D21" t="inlineStr">
        <is>
          <t>FILTER-12820</t>
        </is>
      </c>
      <c r="E21" t="inlineStr">
        <is>
          <t>Defect</t>
        </is>
      </c>
      <c r="F21" t="inlineStr">
        <is>
          <t>Amit Shete</t>
        </is>
      </c>
      <c r="G21" t="inlineStr">
        <is>
          <t>Open</t>
        </is>
      </c>
      <c r="H21" t="inlineStr"/>
      <c r="I21" t="inlineStr">
        <is>
          <t>P2</t>
        </is>
      </c>
      <c r="J21" s="30" t="n">
        <v>46108</v>
      </c>
      <c r="L21" s="30" t="n">
        <v>46126</v>
      </c>
      <c r="M21" t="inlineStr">
        <is>
          <t>sprint-Hanna</t>
        </is>
      </c>
      <c r="N21" s="11" t="n">
        <v>0</v>
      </c>
      <c r="O21" s="11" t="n">
        <v>0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Automation</t>
        </is>
      </c>
      <c r="B22" s="29" t="inlineStr">
        <is>
          <t>FILTER-13098</t>
        </is>
      </c>
      <c r="C22" s="21" t="inlineStr">
        <is>
          <t>QA- On Support tool, if we turn on On-Call / Case manager setting along with Case Handled by as Both changes do not get saved</t>
        </is>
      </c>
      <c r="D22" t="inlineStr">
        <is>
          <t>FILTER-13095</t>
        </is>
      </c>
      <c r="E22" t="inlineStr">
        <is>
          <t>Escape Defect</t>
        </is>
      </c>
      <c r="F22" t="inlineStr">
        <is>
          <t>Amit Shete</t>
        </is>
      </c>
      <c r="G22" t="inlineStr">
        <is>
          <t>Open</t>
        </is>
      </c>
      <c r="H22" t="inlineStr"/>
      <c r="I22" t="inlineStr">
        <is>
          <t>P3</t>
        </is>
      </c>
      <c r="J22" s="30" t="n">
        <v>46114</v>
      </c>
      <c r="L22" s="30" t="n">
        <v>46126</v>
      </c>
      <c r="M22" t="inlineStr">
        <is>
          <t>sprint-Hanna</t>
        </is>
      </c>
      <c r="N22" s="11" t="n">
        <v>0</v>
      </c>
      <c r="O22" s="11" t="n">
        <v>0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Automation</t>
        </is>
      </c>
      <c r="B23" s="29" t="inlineStr">
        <is>
          <t>FILTER-13120</t>
        </is>
      </c>
      <c r="C23" s="21" t="inlineStr">
        <is>
          <t>QA- Students bypassing Filter using scrlybrkr</t>
        </is>
      </c>
      <c r="D23" t="inlineStr">
        <is>
          <t>FILTER-13117</t>
        </is>
      </c>
      <c r="E23" t="inlineStr">
        <is>
          <t>Escape Defect</t>
        </is>
      </c>
      <c r="F23" t="inlineStr">
        <is>
          <t>Amit Shete</t>
        </is>
      </c>
      <c r="G23" t="inlineStr">
        <is>
          <t>Open</t>
        </is>
      </c>
      <c r="H23" t="inlineStr"/>
      <c r="I23" t="inlineStr">
        <is>
          <t>P1</t>
        </is>
      </c>
      <c r="J23" s="30" t="n">
        <v>46114</v>
      </c>
      <c r="L23" s="30" t="n">
        <v>46126</v>
      </c>
      <c r="M23" t="inlineStr">
        <is>
          <t>sprint-Hanna</t>
        </is>
      </c>
      <c r="N23" s="11" t="n">
        <v>0</v>
      </c>
      <c r="O23" s="11" t="n">
        <v>0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Automation</t>
        </is>
      </c>
      <c r="B24" s="29" t="inlineStr">
        <is>
          <t>FILTER-13338</t>
        </is>
      </c>
      <c r="C24" s="21" t="inlineStr">
        <is>
          <t xml:space="preserve">QA- Image Blur Feature: Google Drive - Download and Copy options available for blurred images </t>
        </is>
      </c>
      <c r="D24" t="inlineStr">
        <is>
          <t>FILTER-13335</t>
        </is>
      </c>
      <c r="E24" t="inlineStr">
        <is>
          <t>Defect</t>
        </is>
      </c>
      <c r="F24" t="inlineStr">
        <is>
          <t>Amit Shete</t>
        </is>
      </c>
      <c r="G24" t="inlineStr">
        <is>
          <t>Open</t>
        </is>
      </c>
      <c r="H24" t="inlineStr"/>
      <c r="I24" t="inlineStr">
        <is>
          <t>P1</t>
        </is>
      </c>
      <c r="J24" s="30" t="n">
        <v>46120</v>
      </c>
      <c r="L24" s="30" t="n">
        <v>46126</v>
      </c>
      <c r="M24" t="inlineStr">
        <is>
          <t>sprint-Hanna</t>
        </is>
      </c>
      <c r="N24" s="11" t="n">
        <v>0</v>
      </c>
      <c r="O24" s="11" t="n">
        <v>0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Automation</t>
        </is>
      </c>
      <c r="B25" s="29" t="inlineStr">
        <is>
          <t>FILTER-13481</t>
        </is>
      </c>
      <c r="C25" s="21" t="inlineStr">
        <is>
          <t>QA- SPROX: yahoo.com loading and search issue</t>
        </is>
      </c>
      <c r="D25" t="inlineStr">
        <is>
          <t>FILTER-13478</t>
        </is>
      </c>
      <c r="E25" t="inlineStr">
        <is>
          <t>Defect</t>
        </is>
      </c>
      <c r="F25" t="inlineStr">
        <is>
          <t>Amit Shete</t>
        </is>
      </c>
      <c r="G25" t="inlineStr">
        <is>
          <t>Open</t>
        </is>
      </c>
      <c r="H25" t="inlineStr"/>
      <c r="I25" t="inlineStr">
        <is>
          <t>P1</t>
        </is>
      </c>
      <c r="J25" s="30" t="n">
        <v>46123</v>
      </c>
      <c r="L25" s="30" t="n">
        <v>46126</v>
      </c>
      <c r="M25" t="inlineStr">
        <is>
          <t>sprint-Hanna</t>
        </is>
      </c>
      <c r="N25" s="11" t="n">
        <v>0</v>
      </c>
      <c r="O25" s="11" t="n">
        <v>0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Automation</t>
        </is>
      </c>
      <c r="B26" s="29" t="inlineStr">
        <is>
          <t>FILTER-13714</t>
        </is>
      </c>
      <c r="C26" s="21" t="inlineStr">
        <is>
          <t>QA- Support Tool &gt;&gt; Custom list UI. Need Validation for Resource and Type Mismatch</t>
        </is>
      </c>
      <c r="D26" t="inlineStr">
        <is>
          <t>FILTER-13711</t>
        </is>
      </c>
      <c r="E26" t="inlineStr">
        <is>
          <t>Defect</t>
        </is>
      </c>
      <c r="F26" t="inlineStr">
        <is>
          <t>Amit Shete</t>
        </is>
      </c>
      <c r="G26" t="inlineStr">
        <is>
          <t>Open</t>
        </is>
      </c>
      <c r="H26" t="inlineStr"/>
      <c r="I26" t="inlineStr">
        <is>
          <t>P3</t>
        </is>
      </c>
      <c r="J26" s="30" t="n">
        <v>46134</v>
      </c>
      <c r="L26" s="30" t="n">
        <v>46139</v>
      </c>
      <c r="M26" t="inlineStr">
        <is>
          <t>sprint-Hanna</t>
        </is>
      </c>
      <c r="N26" s="11" t="n">
        <v>0</v>
      </c>
      <c r="O26" s="11" t="n">
        <v>0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Automation</t>
        </is>
      </c>
      <c r="B27" s="29" t="inlineStr">
        <is>
          <t>FILTER-13718</t>
        </is>
      </c>
      <c r="C27" s="21" t="inlineStr">
        <is>
          <t>QA- Support Tool &gt;&gt; Custom list UI. Audit logs issues</t>
        </is>
      </c>
      <c r="D27" t="inlineStr">
        <is>
          <t>FILTER-13715</t>
        </is>
      </c>
      <c r="E27" t="inlineStr">
        <is>
          <t>Escape Defect</t>
        </is>
      </c>
      <c r="F27" t="inlineStr">
        <is>
          <t>Amit Shete</t>
        </is>
      </c>
      <c r="G27" t="inlineStr">
        <is>
          <t>Open</t>
        </is>
      </c>
      <c r="H27" t="inlineStr"/>
      <c r="I27" t="inlineStr">
        <is>
          <t>P3</t>
        </is>
      </c>
      <c r="J27" s="30" t="n">
        <v>46134</v>
      </c>
      <c r="L27" s="30" t="n">
        <v>46139</v>
      </c>
      <c r="M27" t="inlineStr">
        <is>
          <t>sprint-Hanna</t>
        </is>
      </c>
      <c r="N27" s="11" t="n">
        <v>0</v>
      </c>
      <c r="O27" s="11" t="n">
        <v>0</v>
      </c>
      <c r="P27" t="inlineStr">
        <is>
          <t>FILTER</t>
        </is>
      </c>
      <c r="Q27" t="inlineStr"/>
      <c r="R27" t="inlineStr"/>
      <c r="S27" t="inlineStr"/>
    </row>
    <row r="28">
      <c r="A28" t="inlineStr">
        <is>
          <t>Automation</t>
        </is>
      </c>
      <c r="B28" s="29" t="inlineStr">
        <is>
          <t>FILTER-12542</t>
        </is>
      </c>
      <c r="C28" s="21" t="inlineStr">
        <is>
          <t>Automation -Extension Bypass - Opening new tab</t>
        </is>
      </c>
      <c r="D28" t="inlineStr">
        <is>
          <t>FILTER-12476</t>
        </is>
      </c>
      <c r="E28" t="inlineStr">
        <is>
          <t>Escape Defect</t>
        </is>
      </c>
      <c r="F28" t="inlineStr">
        <is>
          <t>Amol Mithari</t>
        </is>
      </c>
      <c r="G28" t="inlineStr">
        <is>
          <t>Open</t>
        </is>
      </c>
      <c r="H28" t="inlineStr"/>
      <c r="I28" t="inlineStr">
        <is>
          <t>P1</t>
        </is>
      </c>
      <c r="J28" s="30" t="n">
        <v>46098</v>
      </c>
      <c r="L28" s="30" t="n">
        <v>46126</v>
      </c>
      <c r="M28" t="inlineStr">
        <is>
          <t>sprint-Hanna</t>
        </is>
      </c>
      <c r="N28" s="11" t="n">
        <v>0</v>
      </c>
      <c r="O28" s="11" t="n">
        <v>2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Dev</t>
        </is>
      </c>
      <c r="B29" s="29" t="inlineStr">
        <is>
          <t>FILTER-11483</t>
        </is>
      </c>
      <c r="C29" s="21" t="inlineStr">
        <is>
          <t>Fix Canva.com NSFW Video Classification Timeout and Safe Image Click Blockers</t>
        </is>
      </c>
      <c r="D29" t="inlineStr">
        <is>
          <t>FILTER-11418</t>
        </is>
      </c>
      <c r="E29" t="inlineStr">
        <is>
          <t>Defect</t>
        </is>
      </c>
      <c r="F29" t="inlineStr">
        <is>
          <t>Arun Thakur</t>
        </is>
      </c>
      <c r="G29" t="inlineStr">
        <is>
          <t>In Progress</t>
        </is>
      </c>
      <c r="H29" t="inlineStr"/>
      <c r="I29" t="inlineStr">
        <is>
          <t>P2</t>
        </is>
      </c>
      <c r="J29" s="30" t="n">
        <v>46010</v>
      </c>
      <c r="L29" s="30" t="n">
        <v>46139</v>
      </c>
      <c r="M29" t="inlineStr">
        <is>
          <t>sprint-Hanna</t>
        </is>
      </c>
      <c r="N29" s="11" t="n">
        <v>6</v>
      </c>
      <c r="O29" s="11" t="n">
        <v>6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Dev</t>
        </is>
      </c>
      <c r="B30" s="29" t="inlineStr">
        <is>
          <t>FILTER-12282</t>
        </is>
      </c>
      <c r="C30" s="21" t="inlineStr">
        <is>
          <t>DE- JS (ALL Extensions) Image Blur model behaves differently on GSheet, Drive, Gslide, Email, PDF, GDoc</t>
        </is>
      </c>
      <c r="D30" t="inlineStr">
        <is>
          <t>FILTER-12281</t>
        </is>
      </c>
      <c r="E30" t="inlineStr">
        <is>
          <t>Defect</t>
        </is>
      </c>
      <c r="F30" t="inlineStr">
        <is>
          <t>Arun Thakur</t>
        </is>
      </c>
      <c r="G30" t="inlineStr">
        <is>
          <t>In Progress</t>
        </is>
      </c>
      <c r="H30" t="inlineStr"/>
      <c r="I30" t="inlineStr">
        <is>
          <t>P2</t>
        </is>
      </c>
      <c r="J30" s="30" t="n">
        <v>46079</v>
      </c>
      <c r="L30" s="30" t="n">
        <v>46139</v>
      </c>
      <c r="M30" t="inlineStr">
        <is>
          <t>sprint-Hanna</t>
        </is>
      </c>
      <c r="N30" s="11" t="n">
        <v>12</v>
      </c>
      <c r="O30" s="11" t="n">
        <v>12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Dev</t>
        </is>
      </c>
      <c r="B31" s="29" t="inlineStr">
        <is>
          <t>FILTER-12620</t>
        </is>
      </c>
      <c r="C31" s="21" t="inlineStr">
        <is>
          <t>DEV - Policy Map Import not showing policy names | San Ramon</t>
        </is>
      </c>
      <c r="D31" t="inlineStr">
        <is>
          <t>FILTER-12619</t>
        </is>
      </c>
      <c r="E31" t="inlineStr">
        <is>
          <t>Escape Defect</t>
        </is>
      </c>
      <c r="F31" t="inlineStr">
        <is>
          <t>Arun Thakur</t>
        </is>
      </c>
      <c r="G31" t="inlineStr">
        <is>
          <t>Open</t>
        </is>
      </c>
      <c r="H31" t="inlineStr"/>
      <c r="I31" t="inlineStr">
        <is>
          <t>P1</t>
        </is>
      </c>
      <c r="J31" s="30" t="n">
        <v>46104</v>
      </c>
      <c r="L31" s="30" t="n">
        <v>46138</v>
      </c>
      <c r="M31" t="inlineStr">
        <is>
          <t>sprint-Hanna</t>
        </is>
      </c>
      <c r="N31" s="11" t="n">
        <v>0</v>
      </c>
      <c r="O31" s="11" t="n">
        <v>0</v>
      </c>
      <c r="P31" t="inlineStr">
        <is>
          <t>FILTER</t>
        </is>
      </c>
      <c r="Q31" t="inlineStr"/>
      <c r="R31" t="inlineStr"/>
      <c r="S31" t="inlineStr"/>
    </row>
    <row r="32">
      <c r="A32" t="inlineStr">
        <is>
          <t>Dev</t>
        </is>
      </c>
      <c r="B32" s="29" t="inlineStr">
        <is>
          <t>FILTER-13826</t>
        </is>
      </c>
      <c r="C32" s="21" t="inlineStr">
        <is>
          <t>Dev Task for Beta flag</t>
        </is>
      </c>
      <c r="D32" t="inlineStr">
        <is>
          <t>FILTER-12119</t>
        </is>
      </c>
      <c r="E32" t="inlineStr">
        <is>
          <t>Escape Defect</t>
        </is>
      </c>
      <c r="F32" t="inlineStr">
        <is>
          <t>Arun Thakur</t>
        </is>
      </c>
      <c r="G32" t="inlineStr">
        <is>
          <t>Open</t>
        </is>
      </c>
      <c r="H32" t="inlineStr"/>
      <c r="I32" t="inlineStr">
        <is>
          <t>P1</t>
        </is>
      </c>
      <c r="J32" s="30" t="n">
        <v>46140</v>
      </c>
      <c r="L32" s="30" t="n">
        <v>46140</v>
      </c>
      <c r="M32" t="inlineStr">
        <is>
          <t>sprint-Hanna</t>
        </is>
      </c>
      <c r="N32" s="11" t="n">
        <v>0</v>
      </c>
      <c r="O32" s="11" t="n">
        <v>0</v>
      </c>
      <c r="P32" t="inlineStr">
        <is>
          <t>FILTER</t>
        </is>
      </c>
      <c r="Q32" t="inlineStr"/>
      <c r="R32" t="inlineStr"/>
      <c r="S32" t="inlineStr"/>
    </row>
    <row r="33">
      <c r="A33" t="inlineStr">
        <is>
          <t>Dev</t>
        </is>
      </c>
      <c r="B33" s="29" t="inlineStr">
        <is>
          <t>FILTER-12516</t>
        </is>
      </c>
      <c r="C33" s="21" t="inlineStr">
        <is>
          <t>Integrate the Google Verified Access API using a Google Service Account for secure server-to-server communication.</t>
        </is>
      </c>
      <c r="D33" t="inlineStr">
        <is>
          <t>FILTER-12512</t>
        </is>
      </c>
      <c r="E33" t="inlineStr">
        <is>
          <t>Task</t>
        </is>
      </c>
      <c r="F33" t="inlineStr">
        <is>
          <t>Ashish Modak</t>
        </is>
      </c>
      <c r="G33" t="inlineStr">
        <is>
          <t>In Progress</t>
        </is>
      </c>
      <c r="H33" t="inlineStr"/>
      <c r="I33" t="inlineStr">
        <is>
          <t>P3</t>
        </is>
      </c>
      <c r="J33" s="30" t="n">
        <v>46098</v>
      </c>
      <c r="L33" s="30" t="n">
        <v>46128</v>
      </c>
      <c r="M33" t="inlineStr">
        <is>
          <t>sprint-Hanna</t>
        </is>
      </c>
      <c r="N33" s="11" t="n">
        <v>0</v>
      </c>
      <c r="O33" s="11" t="n">
        <v>16</v>
      </c>
      <c r="P33" t="inlineStr">
        <is>
          <t>FILTER</t>
        </is>
      </c>
      <c r="Q33" t="inlineStr"/>
      <c r="R33" t="inlineStr"/>
      <c r="S33" t="inlineStr"/>
    </row>
    <row r="34">
      <c r="A34" t="inlineStr">
        <is>
          <t>Dev</t>
        </is>
      </c>
      <c r="B34" s="29" t="inlineStr">
        <is>
          <t>FILTER-12517</t>
        </is>
      </c>
      <c r="C34" s="21" t="inlineStr">
        <is>
          <t>Create a Google Service Account and request an increase in the Requests Per Minute (RPM) quota from Google.</t>
        </is>
      </c>
      <c r="D34" t="inlineStr">
        <is>
          <t>FILTER-12512</t>
        </is>
      </c>
      <c r="E34" t="inlineStr">
        <is>
          <t>Task</t>
        </is>
      </c>
      <c r="F34" t="inlineStr">
        <is>
          <t>Ashish Modak</t>
        </is>
      </c>
      <c r="G34" t="inlineStr">
        <is>
          <t>Open</t>
        </is>
      </c>
      <c r="H34" t="inlineStr"/>
      <c r="I34" t="inlineStr">
        <is>
          <t>P3</t>
        </is>
      </c>
      <c r="J34" s="30" t="n">
        <v>46098</v>
      </c>
      <c r="L34" s="30" t="n">
        <v>46126</v>
      </c>
      <c r="M34" t="inlineStr">
        <is>
          <t>sprint-Hanna</t>
        </is>
      </c>
      <c r="N34" s="11" t="n">
        <v>0</v>
      </c>
      <c r="O34" s="11" t="n">
        <v>0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Dev</t>
        </is>
      </c>
      <c r="B35" s="29" t="inlineStr">
        <is>
          <t>FILTER-12518</t>
        </is>
      </c>
      <c r="C35" s="21" t="inlineStr">
        <is>
          <t>Add logic to classify devices into High, Medium, and Low confidence levels based on the Verified Access response and validation checks.</t>
        </is>
      </c>
      <c r="D35" t="inlineStr">
        <is>
          <t>FILTER-12512</t>
        </is>
      </c>
      <c r="E35" t="inlineStr">
        <is>
          <t>Task</t>
        </is>
      </c>
      <c r="F35" t="inlineStr">
        <is>
          <t>Ashish Modak</t>
        </is>
      </c>
      <c r="G35" t="inlineStr">
        <is>
          <t>Open</t>
        </is>
      </c>
      <c r="H35" t="inlineStr"/>
      <c r="I35" t="inlineStr">
        <is>
          <t>P3</t>
        </is>
      </c>
      <c r="J35" s="30" t="n">
        <v>46098</v>
      </c>
      <c r="L35" s="30" t="n">
        <v>46126</v>
      </c>
      <c r="M35" t="inlineStr">
        <is>
          <t>sprint-Hanna</t>
        </is>
      </c>
      <c r="N35" s="11" t="n">
        <v>0</v>
      </c>
      <c r="O35" s="11" t="n">
        <v>0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Dev</t>
        </is>
      </c>
      <c r="B36" s="29" t="inlineStr">
        <is>
          <t>FILTER-12519</t>
        </is>
      </c>
      <c r="C36" s="21" t="inlineStr">
        <is>
          <t>Implement a centralized rate-limiting mechanism for Verified Access API calls to prevent abuse and excessive requests.</t>
        </is>
      </c>
      <c r="D36" t="inlineStr">
        <is>
          <t>FILTER-12512</t>
        </is>
      </c>
      <c r="E36" t="inlineStr">
        <is>
          <t>Task</t>
        </is>
      </c>
      <c r="F36" t="inlineStr">
        <is>
          <t>Ashish Modak</t>
        </is>
      </c>
      <c r="G36" t="inlineStr">
        <is>
          <t>Open</t>
        </is>
      </c>
      <c r="H36" t="inlineStr"/>
      <c r="I36" t="inlineStr">
        <is>
          <t>P3</t>
        </is>
      </c>
      <c r="J36" s="30" t="n">
        <v>46098</v>
      </c>
      <c r="L36" s="30" t="n">
        <v>46126</v>
      </c>
      <c r="M36" t="inlineStr">
        <is>
          <t>sprint-Hanna</t>
        </is>
      </c>
      <c r="N36" s="11" t="n">
        <v>0</v>
      </c>
      <c r="O36" s="11" t="n">
        <v>0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Dev</t>
        </is>
      </c>
      <c r="B37" s="29" t="inlineStr">
        <is>
          <t>FILTER-12520</t>
        </is>
      </c>
      <c r="C37" s="21" t="inlineStr">
        <is>
          <t>Ensure the implementation is backward compatible with existing authentication and device validation flows.</t>
        </is>
      </c>
      <c r="D37" t="inlineStr">
        <is>
          <t>FILTER-12512</t>
        </is>
      </c>
      <c r="E37" t="inlineStr">
        <is>
          <t>Task</t>
        </is>
      </c>
      <c r="F37" t="inlineStr">
        <is>
          <t>Ashish Modak</t>
        </is>
      </c>
      <c r="G37" t="inlineStr">
        <is>
          <t>Open</t>
        </is>
      </c>
      <c r="H37" t="inlineStr"/>
      <c r="I37" t="inlineStr">
        <is>
          <t>P3</t>
        </is>
      </c>
      <c r="J37" s="30" t="n">
        <v>46098</v>
      </c>
      <c r="L37" s="30" t="n">
        <v>46126</v>
      </c>
      <c r="M37" t="inlineStr">
        <is>
          <t>sprint-Hanna</t>
        </is>
      </c>
      <c r="N37" s="11" t="n">
        <v>0</v>
      </c>
      <c r="O37" s="11" t="n">
        <v>0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Dev</t>
        </is>
      </c>
      <c r="B38" s="29" t="inlineStr">
        <is>
          <t>FILTER-12521</t>
        </is>
      </c>
      <c r="C38" s="21" t="inlineStr">
        <is>
          <t>Document step-by-step instructions to enable Verified Access in the Google Admin Console and configure the extension.</t>
        </is>
      </c>
      <c r="D38" t="inlineStr">
        <is>
          <t>FILTER-12512</t>
        </is>
      </c>
      <c r="E38" t="inlineStr">
        <is>
          <t>Task</t>
        </is>
      </c>
      <c r="F38" t="inlineStr">
        <is>
          <t>Ashish Modak</t>
        </is>
      </c>
      <c r="G38" t="inlineStr">
        <is>
          <t>Open</t>
        </is>
      </c>
      <c r="H38" t="inlineStr"/>
      <c r="I38" t="inlineStr">
        <is>
          <t>P3</t>
        </is>
      </c>
      <c r="J38" s="30" t="n">
        <v>46098</v>
      </c>
      <c r="L38" s="30" t="n">
        <v>46126</v>
      </c>
      <c r="M38" t="inlineStr">
        <is>
          <t>sprint-Hanna</t>
        </is>
      </c>
      <c r="N38" s="11" t="n">
        <v>0</v>
      </c>
      <c r="O38" s="11" t="n">
        <v>0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Dev</t>
        </is>
      </c>
      <c r="B39" s="29" t="inlineStr">
        <is>
          <t>FILTER-12522</t>
        </is>
      </c>
      <c r="C39" s="21" t="inlineStr">
        <is>
          <t>Implement JWT-based authentication for Chrome and Edge browser extensions.</t>
        </is>
      </c>
      <c r="D39" t="inlineStr">
        <is>
          <t>FILTER-12512</t>
        </is>
      </c>
      <c r="E39" t="inlineStr">
        <is>
          <t>Task</t>
        </is>
      </c>
      <c r="F39" t="inlineStr">
        <is>
          <t>Ashish Modak</t>
        </is>
      </c>
      <c r="G39" t="inlineStr">
        <is>
          <t>Open</t>
        </is>
      </c>
      <c r="H39" t="inlineStr"/>
      <c r="I39" t="inlineStr">
        <is>
          <t>P3</t>
        </is>
      </c>
      <c r="J39" s="30" t="n">
        <v>46098</v>
      </c>
      <c r="L39" s="30" t="n">
        <v>46126</v>
      </c>
      <c r="M39" t="inlineStr">
        <is>
          <t>sprint-Hanna</t>
        </is>
      </c>
      <c r="N39" s="11" t="n">
        <v>0</v>
      </c>
      <c r="O39" s="11" t="n">
        <v>0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Dev</t>
        </is>
      </c>
      <c r="B40" s="29" t="inlineStr">
        <is>
          <t>FILTER-12523</t>
        </is>
      </c>
      <c r="C40" s="21" t="inlineStr">
        <is>
          <t>Add a JWT token refresh mechanism for Chrome and Edge browser extensions to maintain valid sessions.</t>
        </is>
      </c>
      <c r="D40" t="inlineStr">
        <is>
          <t>FILTER-12512</t>
        </is>
      </c>
      <c r="E40" t="inlineStr">
        <is>
          <t>Task</t>
        </is>
      </c>
      <c r="F40" t="inlineStr">
        <is>
          <t>Ashish Modak</t>
        </is>
      </c>
      <c r="G40" t="inlineStr">
        <is>
          <t>Open</t>
        </is>
      </c>
      <c r="H40" t="inlineStr"/>
      <c r="I40" t="inlineStr">
        <is>
          <t>P3</t>
        </is>
      </c>
      <c r="J40" s="30" t="n">
        <v>46098</v>
      </c>
      <c r="L40" s="30" t="n">
        <v>46126</v>
      </c>
      <c r="M40" t="inlineStr">
        <is>
          <t>sprint-Hanna</t>
        </is>
      </c>
      <c r="N40" s="11" t="n">
        <v>0</v>
      </c>
      <c r="O40" s="11" t="n">
        <v>0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Dev</t>
        </is>
      </c>
      <c r="B41" s="29" t="inlineStr">
        <is>
          <t>FILTER-12524</t>
        </is>
      </c>
      <c r="C41" s="21" t="inlineStr">
        <is>
          <t>Include the JWT token in request headers for all relevant APIs.</t>
        </is>
      </c>
      <c r="D41" t="inlineStr">
        <is>
          <t>FILTER-12512</t>
        </is>
      </c>
      <c r="E41" t="inlineStr">
        <is>
          <t>Task</t>
        </is>
      </c>
      <c r="F41" t="inlineStr">
        <is>
          <t>Ashish Modak</t>
        </is>
      </c>
      <c r="G41" t="inlineStr">
        <is>
          <t>Open</t>
        </is>
      </c>
      <c r="H41" t="inlineStr"/>
      <c r="I41" t="inlineStr">
        <is>
          <t>P3</t>
        </is>
      </c>
      <c r="J41" s="30" t="n">
        <v>46098</v>
      </c>
      <c r="L41" s="30" t="n">
        <v>46126</v>
      </c>
      <c r="M41" t="inlineStr">
        <is>
          <t>sprint-Hanna</t>
        </is>
      </c>
      <c r="N41" s="11" t="n">
        <v>0</v>
      </c>
      <c r="O41" s="11" t="n">
        <v>0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Dev</t>
        </is>
      </c>
      <c r="B42" s="29" t="inlineStr">
        <is>
          <t>FILTER-12525</t>
        </is>
      </c>
      <c r="C42" s="21" t="inlineStr">
        <is>
          <t>Validate that existing SRE Broker APIs continue to function correctly after the Verified Access integration.\</t>
        </is>
      </c>
      <c r="D42" t="inlineStr">
        <is>
          <t>FILTER-12512</t>
        </is>
      </c>
      <c r="E42" t="inlineStr">
        <is>
          <t>Task</t>
        </is>
      </c>
      <c r="F42" t="inlineStr">
        <is>
          <t>Ashish Modak</t>
        </is>
      </c>
      <c r="G42" t="inlineStr">
        <is>
          <t>Open</t>
        </is>
      </c>
      <c r="H42" t="inlineStr"/>
      <c r="I42" t="inlineStr">
        <is>
          <t>P3</t>
        </is>
      </c>
      <c r="J42" s="30" t="n">
        <v>46098</v>
      </c>
      <c r="L42" s="30" t="n">
        <v>46126</v>
      </c>
      <c r="M42" t="inlineStr">
        <is>
          <t>sprint-Hanna</t>
        </is>
      </c>
      <c r="N42" s="11" t="n">
        <v>0</v>
      </c>
      <c r="O42" s="11" t="n">
        <v>0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9" t="inlineStr">
        <is>
          <t>FILTER-11485</t>
        </is>
      </c>
      <c r="C43" s="21" t="inlineStr">
        <is>
          <t>Fix Canva.com NSFW Video Classification Timeout and Safe Image Click Blockers</t>
        </is>
      </c>
      <c r="D43" t="inlineStr">
        <is>
          <t>FILTER-11418</t>
        </is>
      </c>
      <c r="E43" t="inlineStr">
        <is>
          <t>Defect</t>
        </is>
      </c>
      <c r="F43" t="inlineStr">
        <is>
          <t>Ayesha Kamde</t>
        </is>
      </c>
      <c r="G43" t="inlineStr">
        <is>
          <t>Open</t>
        </is>
      </c>
      <c r="H43" t="inlineStr"/>
      <c r="I43" t="inlineStr">
        <is>
          <t>P2</t>
        </is>
      </c>
      <c r="J43" s="30" t="n">
        <v>46010</v>
      </c>
      <c r="L43" s="30" t="n">
        <v>46128</v>
      </c>
      <c r="M43" t="inlineStr">
        <is>
          <t>sprint-Hanna</t>
        </is>
      </c>
      <c r="N43" s="11" t="n">
        <v>2</v>
      </c>
      <c r="O43" s="11" t="n">
        <v>2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9" t="inlineStr">
        <is>
          <t>FILTER-12178</t>
        </is>
      </c>
      <c r="C44" s="21" t="inlineStr">
        <is>
          <t>Verify about:blank loophole fix – block/redirect unless opened from allowed site</t>
        </is>
      </c>
      <c r="D44" t="inlineStr">
        <is>
          <t>FILTER-12119</t>
        </is>
      </c>
      <c r="E44" t="inlineStr">
        <is>
          <t>Escape Defect</t>
        </is>
      </c>
      <c r="F44" t="inlineStr">
        <is>
          <t>Ayesha Kamde</t>
        </is>
      </c>
      <c r="G44" t="inlineStr">
        <is>
          <t>Open</t>
        </is>
      </c>
      <c r="H44" t="inlineStr"/>
      <c r="I44" t="inlineStr">
        <is>
          <t>P1</t>
        </is>
      </c>
      <c r="J44" s="30" t="n">
        <v>46078</v>
      </c>
      <c r="L44" s="30" t="n">
        <v>46126</v>
      </c>
      <c r="M44" t="inlineStr">
        <is>
          <t>sprint-Hanna</t>
        </is>
      </c>
      <c r="N44" s="11" t="n">
        <v>0</v>
      </c>
      <c r="O44" s="11" t="n">
        <v>0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QA</t>
        </is>
      </c>
      <c r="B45" s="29" t="inlineStr">
        <is>
          <t>FILTER-12283</t>
        </is>
      </c>
      <c r="C45" s="21" t="inlineStr">
        <is>
          <t>QA- JS (ALL Extensions) Image Blur model behaves differently on GSheet, Drive, Gslide, Email, PDF, GDoc</t>
        </is>
      </c>
      <c r="D45" t="inlineStr">
        <is>
          <t>FILTER-12281</t>
        </is>
      </c>
      <c r="E45" t="inlineStr">
        <is>
          <t>Defect</t>
        </is>
      </c>
      <c r="F45" t="inlineStr">
        <is>
          <t>Ayesha Kamde</t>
        </is>
      </c>
      <c r="G45" t="inlineStr">
        <is>
          <t>Open</t>
        </is>
      </c>
      <c r="H45" t="inlineStr"/>
      <c r="I45" t="inlineStr">
        <is>
          <t>P2</t>
        </is>
      </c>
      <c r="J45" s="30" t="n">
        <v>46079</v>
      </c>
      <c r="L45" s="30" t="n">
        <v>46128</v>
      </c>
      <c r="M45" t="inlineStr">
        <is>
          <t>sprint-Hanna</t>
        </is>
      </c>
      <c r="N45" s="11" t="n">
        <v>3</v>
      </c>
      <c r="O45" s="11" t="n">
        <v>2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QA</t>
        </is>
      </c>
      <c r="B46" s="29" t="inlineStr">
        <is>
          <t>FILTER-12395</t>
        </is>
      </c>
      <c r="C46" s="21" t="inlineStr">
        <is>
          <t>QA- DA Filter &gt;&gt; Activities. DA is able to see activities of kids from other OU as well</t>
        </is>
      </c>
      <c r="D46" t="inlineStr">
        <is>
          <t>FILTER-12393</t>
        </is>
      </c>
      <c r="E46" t="inlineStr">
        <is>
          <t>Defect</t>
        </is>
      </c>
      <c r="F46" t="inlineStr">
        <is>
          <t>Ayesha Kamde</t>
        </is>
      </c>
      <c r="G46" t="inlineStr">
        <is>
          <t>Open</t>
        </is>
      </c>
      <c r="H46" t="inlineStr"/>
      <c r="I46" t="inlineStr">
        <is>
          <t>P1</t>
        </is>
      </c>
      <c r="J46" s="30" t="n">
        <v>46090</v>
      </c>
      <c r="L46" s="30" t="n">
        <v>46126</v>
      </c>
      <c r="M46" t="inlineStr">
        <is>
          <t>sprint-Hanna</t>
        </is>
      </c>
      <c r="N46" s="11" t="n">
        <v>0</v>
      </c>
      <c r="O46" s="11" t="n">
        <v>2</v>
      </c>
      <c r="P46" t="inlineStr">
        <is>
          <t>FILTER</t>
        </is>
      </c>
      <c r="Q46" t="inlineStr"/>
      <c r="R46" t="inlineStr"/>
      <c r="S46" t="inlineStr"/>
    </row>
    <row r="47">
      <c r="A47" t="inlineStr">
        <is>
          <t>QA</t>
        </is>
      </c>
      <c r="B47" s="29" t="inlineStr">
        <is>
          <t>FILTER-12429</t>
        </is>
      </c>
      <c r="C47" s="21" t="inlineStr">
        <is>
          <t>[TS Extension] QA task to reverify issue  - crextn - initial broker skips iframes</t>
        </is>
      </c>
      <c r="D47" t="inlineStr">
        <is>
          <t>FILTER-12427</t>
        </is>
      </c>
      <c r="E47" t="inlineStr">
        <is>
          <t>Task</t>
        </is>
      </c>
      <c r="F47" t="inlineStr">
        <is>
          <t>Ayesha Kamde</t>
        </is>
      </c>
      <c r="G47" t="inlineStr">
        <is>
          <t>Open</t>
        </is>
      </c>
      <c r="H47" t="inlineStr"/>
      <c r="I47" t="inlineStr">
        <is>
          <t>P2</t>
        </is>
      </c>
      <c r="J47" s="30" t="n">
        <v>46093</v>
      </c>
      <c r="L47" s="30" t="n">
        <v>46133</v>
      </c>
      <c r="M47" t="inlineStr">
        <is>
          <t>sprint-Hanna</t>
        </is>
      </c>
      <c r="N47" s="11" t="n">
        <v>1</v>
      </c>
      <c r="O47" s="11" t="n">
        <v>2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QA</t>
        </is>
      </c>
      <c r="B48" s="29" t="inlineStr">
        <is>
          <t>FILTER-12449</t>
        </is>
      </c>
      <c r="C48" s="21" t="inlineStr">
        <is>
          <t xml:space="preserve">QA- Site not loading correctly with extension </t>
        </is>
      </c>
      <c r="D48" t="inlineStr">
        <is>
          <t>FILTER-12447</t>
        </is>
      </c>
      <c r="E48" t="inlineStr">
        <is>
          <t>Escape Defect</t>
        </is>
      </c>
      <c r="F48" t="inlineStr">
        <is>
          <t>Ayesha Kamde</t>
        </is>
      </c>
      <c r="G48" t="inlineStr">
        <is>
          <t>Open</t>
        </is>
      </c>
      <c r="H48" t="inlineStr"/>
      <c r="I48" t="inlineStr">
        <is>
          <t>P3</t>
        </is>
      </c>
      <c r="J48" s="30" t="n">
        <v>46093</v>
      </c>
      <c r="L48" s="30" t="n">
        <v>46126</v>
      </c>
      <c r="M48" t="inlineStr">
        <is>
          <t>sprint-Hanna</t>
        </is>
      </c>
      <c r="N48" s="11" t="n">
        <v>0</v>
      </c>
      <c r="O48" s="11" t="n">
        <v>0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QA</t>
        </is>
      </c>
      <c r="B49" s="29" t="inlineStr">
        <is>
          <t>FILTER-12514</t>
        </is>
      </c>
      <c r="C49" s="21" t="inlineStr">
        <is>
          <t>QA- [Extension API Fortification]Tasks for Verified access api</t>
        </is>
      </c>
      <c r="D49" t="inlineStr">
        <is>
          <t>FILTER-12512</t>
        </is>
      </c>
      <c r="E49" t="inlineStr">
        <is>
          <t>Task</t>
        </is>
      </c>
      <c r="F49" t="inlineStr">
        <is>
          <t>Ayesha Kamde</t>
        </is>
      </c>
      <c r="G49" t="inlineStr">
        <is>
          <t>Open</t>
        </is>
      </c>
      <c r="H49" t="inlineStr"/>
      <c r="I49" t="inlineStr">
        <is>
          <t>P1</t>
        </is>
      </c>
      <c r="J49" s="30" t="n">
        <v>46098</v>
      </c>
      <c r="L49" s="30" t="n">
        <v>46126</v>
      </c>
      <c r="M49" t="inlineStr">
        <is>
          <t>sprint-Hanna</t>
        </is>
      </c>
      <c r="N49" s="11" t="n">
        <v>0</v>
      </c>
      <c r="O49" s="11" t="n">
        <v>0</v>
      </c>
      <c r="P49" t="inlineStr">
        <is>
          <t>FILTER</t>
        </is>
      </c>
      <c r="Q49" t="inlineStr"/>
      <c r="R49" t="inlineStr"/>
      <c r="S49" t="inlineStr"/>
    </row>
    <row r="50">
      <c r="A50" t="inlineStr">
        <is>
          <t>QA</t>
        </is>
      </c>
      <c r="B50" s="29" t="inlineStr">
        <is>
          <t>FILTER-12541</t>
        </is>
      </c>
      <c r="C50" s="21" t="inlineStr">
        <is>
          <t>QA -Extension Bypass - Opening new tab - Fix Test</t>
        </is>
      </c>
      <c r="D50" t="inlineStr">
        <is>
          <t>FILTER-12476</t>
        </is>
      </c>
      <c r="E50" t="inlineStr">
        <is>
          <t>Escape Defect</t>
        </is>
      </c>
      <c r="F50" t="inlineStr">
        <is>
          <t>Ayesha Kamde</t>
        </is>
      </c>
      <c r="G50" t="inlineStr">
        <is>
          <t>Ready for QA</t>
        </is>
      </c>
      <c r="H50" t="inlineStr"/>
      <c r="I50" t="inlineStr">
        <is>
          <t>P1</t>
        </is>
      </c>
      <c r="J50" s="30" t="n">
        <v>46098</v>
      </c>
      <c r="L50" s="30" t="n">
        <v>46140</v>
      </c>
      <c r="M50" t="inlineStr">
        <is>
          <t>sprint-Hanna</t>
        </is>
      </c>
      <c r="N50" s="11" t="n">
        <v>0</v>
      </c>
      <c r="O50" s="11" t="n">
        <v>5</v>
      </c>
      <c r="P50" t="inlineStr">
        <is>
          <t>FILTER</t>
        </is>
      </c>
      <c r="Q50" t="inlineStr"/>
      <c r="R50" t="inlineStr"/>
      <c r="S50" t="inlineStr"/>
    </row>
    <row r="51">
      <c r="A51" t="inlineStr">
        <is>
          <t>QA</t>
        </is>
      </c>
      <c r="B51" s="29" t="inlineStr">
        <is>
          <t>FILTER-13119</t>
        </is>
      </c>
      <c r="C51" s="21" t="inlineStr">
        <is>
          <t>QA- Students bypassing Filter using scrlybrkr</t>
        </is>
      </c>
      <c r="D51" t="inlineStr">
        <is>
          <t>FILTER-13117</t>
        </is>
      </c>
      <c r="E51" t="inlineStr">
        <is>
          <t>Escape Defect</t>
        </is>
      </c>
      <c r="F51" t="inlineStr">
        <is>
          <t>Ayesha Kamde</t>
        </is>
      </c>
      <c r="G51" t="inlineStr">
        <is>
          <t>Open</t>
        </is>
      </c>
      <c r="H51" t="inlineStr"/>
      <c r="I51" t="inlineStr">
        <is>
          <t>P1</t>
        </is>
      </c>
      <c r="J51" s="30" t="n">
        <v>46114</v>
      </c>
      <c r="L51" s="30" t="n">
        <v>46129</v>
      </c>
      <c r="M51" t="inlineStr">
        <is>
          <t>sprint-Hanna</t>
        </is>
      </c>
      <c r="N51" s="11" t="n">
        <v>0</v>
      </c>
      <c r="O51" s="11" t="n">
        <v>0</v>
      </c>
      <c r="P51" t="inlineStr">
        <is>
          <t>FILTER</t>
        </is>
      </c>
      <c r="Q51" t="inlineStr"/>
      <c r="R51" t="inlineStr"/>
      <c r="S51" t="inlineStr"/>
    </row>
    <row r="52">
      <c r="A52" t="inlineStr">
        <is>
          <t>QA</t>
        </is>
      </c>
      <c r="B52" s="29" t="inlineStr">
        <is>
          <t>FILTER-13337</t>
        </is>
      </c>
      <c r="C52" s="21" t="inlineStr">
        <is>
          <t xml:space="preserve">QA- Image Blur Feature: Google Drive - Download and Copy options available for blurred images </t>
        </is>
      </c>
      <c r="D52" t="inlineStr">
        <is>
          <t>FILTER-13335</t>
        </is>
      </c>
      <c r="E52" t="inlineStr">
        <is>
          <t>Defect</t>
        </is>
      </c>
      <c r="F52" t="inlineStr">
        <is>
          <t>Ayesha Kamde</t>
        </is>
      </c>
      <c r="G52" t="inlineStr">
        <is>
          <t>Open</t>
        </is>
      </c>
      <c r="H52" t="inlineStr"/>
      <c r="I52" t="inlineStr">
        <is>
          <t>P1</t>
        </is>
      </c>
      <c r="J52" s="30" t="n">
        <v>46120</v>
      </c>
      <c r="L52" s="30" t="n">
        <v>46126</v>
      </c>
      <c r="M52" t="inlineStr">
        <is>
          <t>sprint-Hanna</t>
        </is>
      </c>
      <c r="N52" s="11" t="n">
        <v>0</v>
      </c>
      <c r="O52" s="11" t="n">
        <v>0</v>
      </c>
      <c r="P52" t="inlineStr">
        <is>
          <t>FILTER</t>
        </is>
      </c>
      <c r="Q52" t="inlineStr"/>
      <c r="R52" t="inlineStr"/>
      <c r="S52" t="inlineStr"/>
    </row>
    <row r="53">
      <c r="A53" t="inlineStr">
        <is>
          <t>Dev</t>
        </is>
      </c>
      <c r="B53" s="29" t="inlineStr">
        <is>
          <t>FILTER-13658</t>
        </is>
      </c>
      <c r="C53" s="21" t="inlineStr">
        <is>
          <t>Dependabot fixes for Filter product</t>
        </is>
      </c>
      <c r="D53" t="inlineStr">
        <is>
          <t>FILTER-13657</t>
        </is>
      </c>
      <c r="E53" t="inlineStr">
        <is>
          <t>Story</t>
        </is>
      </c>
      <c r="F53" t="inlineStr">
        <is>
          <t>Harshada Kude</t>
        </is>
      </c>
      <c r="G53" t="inlineStr">
        <is>
          <t>In Progress</t>
        </is>
      </c>
      <c r="H53" t="inlineStr"/>
      <c r="I53" t="inlineStr">
        <is>
          <t>P2</t>
        </is>
      </c>
      <c r="J53" s="30" t="n">
        <v>46133</v>
      </c>
      <c r="L53" s="30" t="n">
        <v>46135</v>
      </c>
      <c r="M53" t="inlineStr">
        <is>
          <t>sprint-Hanna</t>
        </is>
      </c>
      <c r="N53" s="11" t="n">
        <v>0</v>
      </c>
      <c r="O53" s="11" t="n">
        <v>14</v>
      </c>
      <c r="P53" t="inlineStr">
        <is>
          <t>FILTER</t>
        </is>
      </c>
      <c r="Q53" t="inlineStr"/>
      <c r="R53" t="inlineStr"/>
      <c r="S53" t="inlineStr"/>
    </row>
    <row r="54">
      <c r="A54" t="inlineStr">
        <is>
          <t>Dev</t>
        </is>
      </c>
      <c r="B54" s="29" t="inlineStr">
        <is>
          <t>FILTER-11843</t>
        </is>
      </c>
      <c r="C54" s="21" t="inlineStr">
        <is>
          <t>SafetyConsole CustomList API - Old access tokens remain valid after new token generation</t>
        </is>
      </c>
      <c r="D54" t="inlineStr">
        <is>
          <t>FILTER-11687</t>
        </is>
      </c>
      <c r="E54" t="inlineStr">
        <is>
          <t>Defect</t>
        </is>
      </c>
      <c r="F54" t="inlineStr">
        <is>
          <t>Prateek Fotedar</t>
        </is>
      </c>
      <c r="G54" t="inlineStr">
        <is>
          <t>Reopened</t>
        </is>
      </c>
      <c r="H54" t="inlineStr"/>
      <c r="I54" t="inlineStr">
        <is>
          <t>P2</t>
        </is>
      </c>
      <c r="J54" s="30" t="n">
        <v>46051</v>
      </c>
      <c r="L54" s="30" t="n">
        <v>46140</v>
      </c>
      <c r="M54" t="inlineStr">
        <is>
          <t>sprint-Hanna</t>
        </is>
      </c>
      <c r="N54" s="11" t="n">
        <v>12</v>
      </c>
      <c r="O54" s="11" t="n">
        <v>12</v>
      </c>
      <c r="P54" t="inlineStr">
        <is>
          <t>FILTER</t>
        </is>
      </c>
      <c r="Q54" t="inlineStr"/>
      <c r="R54" t="inlineStr"/>
      <c r="S54" t="inlineStr"/>
    </row>
    <row r="55">
      <c r="A55" t="inlineStr">
        <is>
          <t>Dev</t>
        </is>
      </c>
      <c r="B55" s="29" t="inlineStr">
        <is>
          <t>FILTER-11872</t>
        </is>
      </c>
      <c r="C55" s="21" t="inlineStr">
        <is>
          <t>SafetyConsole CustomList API - Token should be invalidated when Filter Product is disabled</t>
        </is>
      </c>
      <c r="D55" t="inlineStr">
        <is>
          <t>FILTER-11688</t>
        </is>
      </c>
      <c r="E55" t="inlineStr">
        <is>
          <t>Escape Defect</t>
        </is>
      </c>
      <c r="F55" t="inlineStr">
        <is>
          <t>Prateek Fotedar</t>
        </is>
      </c>
      <c r="G55" t="inlineStr">
        <is>
          <t>Reopened</t>
        </is>
      </c>
      <c r="H55" t="inlineStr"/>
      <c r="I55" t="inlineStr">
        <is>
          <t>P3</t>
        </is>
      </c>
      <c r="J55" s="30" t="n">
        <v>46051</v>
      </c>
      <c r="L55" s="30" t="n">
        <v>46140</v>
      </c>
      <c r="M55" t="inlineStr">
        <is>
          <t>sprint-Hanna</t>
        </is>
      </c>
      <c r="N55" s="11" t="n">
        <v>1</v>
      </c>
      <c r="O55" s="11" t="n">
        <v>8</v>
      </c>
      <c r="P55" t="inlineStr">
        <is>
          <t>FILTER</t>
        </is>
      </c>
      <c r="Q55" t="inlineStr"/>
      <c r="R55" t="inlineStr"/>
      <c r="S55" t="inlineStr"/>
    </row>
    <row r="56">
      <c r="A56" t="inlineStr">
        <is>
          <t>Dev</t>
        </is>
      </c>
      <c r="B56" s="29" t="inlineStr">
        <is>
          <t>PTGM-700</t>
        </is>
      </c>
      <c r="C56" s="21" t="inlineStr">
        <is>
          <t>Dev task to Scan and fix FATAL and Panic issues in www-support-tool repo</t>
        </is>
      </c>
      <c r="D56" t="inlineStr">
        <is>
          <t>PTGM-698</t>
        </is>
      </c>
      <c r="E56" t="inlineStr">
        <is>
          <t>Story</t>
        </is>
      </c>
      <c r="F56" t="inlineStr">
        <is>
          <t>Prateek Fotedar</t>
        </is>
      </c>
      <c r="G56" t="inlineStr">
        <is>
          <t>Open</t>
        </is>
      </c>
      <c r="H56" t="inlineStr"/>
      <c r="I56" t="inlineStr">
        <is>
          <t>P2</t>
        </is>
      </c>
      <c r="J56" s="30" t="n">
        <v>46125</v>
      </c>
      <c r="L56" s="30" t="n">
        <v>46140</v>
      </c>
      <c r="M56" t="inlineStr">
        <is>
          <t>sprint-Hanna</t>
        </is>
      </c>
      <c r="N56" s="11" t="n">
        <v>0</v>
      </c>
      <c r="O56" s="11" t="n">
        <v>0</v>
      </c>
      <c r="P56" t="inlineStr">
        <is>
          <t>PTGM</t>
        </is>
      </c>
      <c r="Q56" t="inlineStr"/>
      <c r="R56" t="inlineStr"/>
      <c r="S56" t="inlineStr"/>
    </row>
    <row r="57">
      <c r="A57" t="inlineStr">
        <is>
          <t>Dev</t>
        </is>
      </c>
      <c r="B57" s="29" t="inlineStr">
        <is>
          <t>FILTER-12428</t>
        </is>
      </c>
      <c r="C57" s="21" t="inlineStr">
        <is>
          <t>[TS Extension]DEV - CLONE - crextn - initial broker skips iframes</t>
        </is>
      </c>
      <c r="D57" t="inlineStr">
        <is>
          <t>FILTER-12427</t>
        </is>
      </c>
      <c r="E57" t="inlineStr">
        <is>
          <t>Task</t>
        </is>
      </c>
      <c r="F57" t="inlineStr">
        <is>
          <t>Pratik Tiwari</t>
        </is>
      </c>
      <c r="G57" t="inlineStr">
        <is>
          <t>Reopened</t>
        </is>
      </c>
      <c r="H57" t="inlineStr"/>
      <c r="I57" t="inlineStr">
        <is>
          <t>P2</t>
        </is>
      </c>
      <c r="J57" s="30" t="n">
        <v>46093</v>
      </c>
      <c r="L57" s="30" t="n">
        <v>46133</v>
      </c>
      <c r="M57" t="inlineStr">
        <is>
          <t>sprint-Hanna</t>
        </is>
      </c>
      <c r="N57" s="11" t="n">
        <v>3</v>
      </c>
      <c r="O57" s="11" t="n">
        <v>4</v>
      </c>
      <c r="P57" t="inlineStr">
        <is>
          <t>FILTER</t>
        </is>
      </c>
      <c r="Q57" t="inlineStr"/>
      <c r="R57" t="inlineStr"/>
      <c r="S57" t="inlineStr"/>
    </row>
    <row r="58">
      <c r="A58" t="inlineStr">
        <is>
          <t>Dev</t>
        </is>
      </c>
      <c r="B58" s="29" t="inlineStr">
        <is>
          <t>FILTER-13118</t>
        </is>
      </c>
      <c r="C58" s="21" t="inlineStr">
        <is>
          <t>DEV - Students bypassing Filter using scrlybrkr</t>
        </is>
      </c>
      <c r="D58" t="inlineStr">
        <is>
          <t>FILTER-13117</t>
        </is>
      </c>
      <c r="E58" t="inlineStr">
        <is>
          <t>Escape Defect</t>
        </is>
      </c>
      <c r="F58" t="inlineStr">
        <is>
          <t>Pratik Tiwari</t>
        </is>
      </c>
      <c r="G58" t="inlineStr">
        <is>
          <t>Open</t>
        </is>
      </c>
      <c r="H58" t="inlineStr"/>
      <c r="I58" t="inlineStr">
        <is>
          <t>P1</t>
        </is>
      </c>
      <c r="J58" s="30" t="n">
        <v>46114</v>
      </c>
      <c r="L58" s="30" t="n">
        <v>46126</v>
      </c>
      <c r="M58" t="inlineStr">
        <is>
          <t>sprint-Hanna</t>
        </is>
      </c>
      <c r="N58" s="11" t="n">
        <v>0</v>
      </c>
      <c r="O58" s="11" t="n">
        <v>0</v>
      </c>
      <c r="P58" t="inlineStr">
        <is>
          <t>FILTER</t>
        </is>
      </c>
      <c r="Q58" t="inlineStr"/>
      <c r="R58" t="inlineStr"/>
      <c r="S58" t="inlineStr"/>
    </row>
    <row r="59">
      <c r="A59" t="inlineStr">
        <is>
          <t>Dev</t>
        </is>
      </c>
      <c r="B59" s="29" t="inlineStr">
        <is>
          <t>FILTER-13643</t>
        </is>
      </c>
      <c r="C59" s="21" t="inlineStr">
        <is>
          <t>DEV - Chrome Extension is causing specific form not to load</t>
        </is>
      </c>
      <c r="D59" t="inlineStr">
        <is>
          <t>FILTER-10053</t>
        </is>
      </c>
      <c r="E59" t="inlineStr">
        <is>
          <t>Escape Defect</t>
        </is>
      </c>
      <c r="F59" t="inlineStr">
        <is>
          <t>Pratik Tiwari</t>
        </is>
      </c>
      <c r="G59" t="inlineStr">
        <is>
          <t>Open</t>
        </is>
      </c>
      <c r="H59" t="inlineStr"/>
      <c r="I59" t="inlineStr">
        <is>
          <t>P1</t>
        </is>
      </c>
      <c r="J59" s="30" t="n">
        <v>46132</v>
      </c>
      <c r="L59" s="30" t="n">
        <v>46132</v>
      </c>
      <c r="M59" t="inlineStr">
        <is>
          <t>sprint-Hanna</t>
        </is>
      </c>
      <c r="N59" s="11" t="n">
        <v>0</v>
      </c>
      <c r="O59" s="11" t="n">
        <v>0</v>
      </c>
      <c r="P59" t="inlineStr">
        <is>
          <t>FILTER</t>
        </is>
      </c>
      <c r="Q59" t="inlineStr"/>
      <c r="R59" t="inlineStr"/>
      <c r="S59" t="inlineStr"/>
    </row>
    <row r="60">
      <c r="A60" t="inlineStr">
        <is>
          <t>Dev</t>
        </is>
      </c>
      <c r="B60" s="29" t="inlineStr">
        <is>
          <t>FILTER-13479</t>
        </is>
      </c>
      <c r="C60" s="21" t="inlineStr">
        <is>
          <t>DEV - SPROX: yahoo.com loading and search issue</t>
        </is>
      </c>
      <c r="D60" t="inlineStr">
        <is>
          <t>FILTER-13478</t>
        </is>
      </c>
      <c r="E60" t="inlineStr">
        <is>
          <t>Defect</t>
        </is>
      </c>
      <c r="F60" t="inlineStr">
        <is>
          <t>Ravi Raj</t>
        </is>
      </c>
      <c r="G60" t="inlineStr">
        <is>
          <t>Open</t>
        </is>
      </c>
      <c r="H60" t="inlineStr"/>
      <c r="I60" t="inlineStr">
        <is>
          <t>P1</t>
        </is>
      </c>
      <c r="J60" s="30" t="n">
        <v>46123</v>
      </c>
      <c r="L60" s="30" t="n">
        <v>46126</v>
      </c>
      <c r="M60" t="inlineStr">
        <is>
          <t>sprint-Hanna</t>
        </is>
      </c>
      <c r="N60" s="11" t="n">
        <v>0</v>
      </c>
      <c r="O60" s="11" t="n">
        <v>0</v>
      </c>
      <c r="P60" t="inlineStr">
        <is>
          <t>FILTER</t>
        </is>
      </c>
      <c r="Q60" t="inlineStr"/>
      <c r="R60" t="inlineStr"/>
      <c r="S60" t="inlineStr"/>
    </row>
    <row r="61">
      <c r="A61" t="inlineStr">
        <is>
          <t>Dev</t>
        </is>
      </c>
      <c r="B61" s="29" t="inlineStr">
        <is>
          <t>FILTER-13660</t>
        </is>
      </c>
      <c r="C61" s="21" t="inlineStr">
        <is>
          <t>Dependabot fixes for Support-tool product</t>
        </is>
      </c>
      <c r="D61" t="inlineStr">
        <is>
          <t>FILTER-13657</t>
        </is>
      </c>
      <c r="E61" t="inlineStr">
        <is>
          <t>Story</t>
        </is>
      </c>
      <c r="F61" t="inlineStr">
        <is>
          <t>Shailendra Singh</t>
        </is>
      </c>
      <c r="G61" t="inlineStr">
        <is>
          <t>In Progress</t>
        </is>
      </c>
      <c r="H61" t="inlineStr"/>
      <c r="I61" t="inlineStr">
        <is>
          <t>P2</t>
        </is>
      </c>
      <c r="J61" s="30" t="n">
        <v>46133</v>
      </c>
      <c r="L61" s="30" t="n">
        <v>46134</v>
      </c>
      <c r="M61" t="inlineStr">
        <is>
          <t>sprint-Hanna</t>
        </is>
      </c>
      <c r="N61" s="11" t="n">
        <v>0</v>
      </c>
      <c r="O61" s="11" t="n">
        <v>10</v>
      </c>
      <c r="P61" t="inlineStr">
        <is>
          <t>FILTER</t>
        </is>
      </c>
      <c r="Q61" t="inlineStr"/>
      <c r="R61" t="inlineStr"/>
      <c r="S61" t="inlineStr"/>
    </row>
    <row r="62">
      <c r="A62" t="inlineStr">
        <is>
          <t>QA</t>
        </is>
      </c>
      <c r="B62" s="29" t="inlineStr">
        <is>
          <t>FILTER-13480</t>
        </is>
      </c>
      <c r="C62" s="21" t="inlineStr">
        <is>
          <t>QA- SPROX: yahoo.com loading and search issue</t>
        </is>
      </c>
      <c r="D62" t="inlineStr">
        <is>
          <t>FILTER-13478</t>
        </is>
      </c>
      <c r="E62" t="inlineStr">
        <is>
          <t>Defect</t>
        </is>
      </c>
      <c r="F62" t="inlineStr">
        <is>
          <t>Surabhi Choudhary</t>
        </is>
      </c>
      <c r="G62" t="inlineStr">
        <is>
          <t>Open</t>
        </is>
      </c>
      <c r="H62" t="inlineStr"/>
      <c r="I62" t="inlineStr">
        <is>
          <t>P1</t>
        </is>
      </c>
      <c r="J62" s="30" t="n">
        <v>46123</v>
      </c>
      <c r="L62" s="30" t="n">
        <v>46126</v>
      </c>
      <c r="M62" t="inlineStr">
        <is>
          <t>sprint-Hanna</t>
        </is>
      </c>
      <c r="N62" s="11" t="n">
        <v>0</v>
      </c>
      <c r="O62" s="11" t="n">
        <v>0</v>
      </c>
      <c r="P62" t="inlineStr">
        <is>
          <t>FILTER</t>
        </is>
      </c>
      <c r="Q62" t="inlineStr"/>
      <c r="R62" t="inlineStr"/>
      <c r="S62" t="inlineStr"/>
    </row>
    <row r="63">
      <c r="A63" t="inlineStr">
        <is>
          <t>Sub-task</t>
        </is>
      </c>
      <c r="B63" s="29" t="inlineStr">
        <is>
          <t>FDSE-163</t>
        </is>
      </c>
      <c r="C63" s="21" t="inlineStr">
        <is>
          <t>Dev Task - Implementation for timepicker component</t>
        </is>
      </c>
      <c r="D63" t="inlineStr">
        <is>
          <t>FDSE-155</t>
        </is>
      </c>
      <c r="E63" t="inlineStr">
        <is>
          <t>Task</t>
        </is>
      </c>
      <c r="F63" t="inlineStr">
        <is>
          <t>Swaroop Chavhan</t>
        </is>
      </c>
      <c r="G63" t="inlineStr">
        <is>
          <t>Open</t>
        </is>
      </c>
      <c r="H63" t="inlineStr"/>
      <c r="I63" t="inlineStr">
        <is>
          <t>P3</t>
        </is>
      </c>
      <c r="J63" s="30" t="n">
        <v>46075</v>
      </c>
      <c r="L63" s="30" t="n">
        <v>46126</v>
      </c>
      <c r="M63" t="inlineStr">
        <is>
          <t>sprint-Hanna</t>
        </is>
      </c>
      <c r="N63" s="11" t="n">
        <v>0</v>
      </c>
      <c r="O63" s="11" t="n">
        <v>0</v>
      </c>
      <c r="P63" t="inlineStr">
        <is>
          <t>FDSE</t>
        </is>
      </c>
      <c r="Q63" t="inlineStr"/>
      <c r="R63" t="inlineStr"/>
      <c r="S63" t="inlineStr"/>
    </row>
  </sheetData>
  <autoFilter ref="A1:S6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3" t="inlineStr">
        <is>
          <t>Debug</t>
        </is>
      </c>
      <c r="B2" s="24" t="inlineStr">
        <is>
          <t>FILTER-13610</t>
        </is>
      </c>
      <c r="C2" s="25" t="inlineStr">
        <is>
          <t>Convert NSFW Image Blur JavaScript Code to TypeScript in securly-extension Repo Using Cursor Skills</t>
        </is>
      </c>
      <c r="D2" s="23" t="inlineStr"/>
      <c r="E2" s="23" t="inlineStr"/>
      <c r="F2" s="23" t="inlineStr">
        <is>
          <t>Arun Thakur</t>
        </is>
      </c>
      <c r="G2" s="23" t="inlineStr">
        <is>
          <t>Open</t>
        </is>
      </c>
      <c r="H2" s="23" t="inlineStr"/>
      <c r="I2" s="23" t="inlineStr">
        <is>
          <t>P2</t>
        </is>
      </c>
      <c r="J2" s="26" t="n">
        <v>46128</v>
      </c>
      <c r="K2" s="23" t="n"/>
      <c r="L2" s="26" t="n">
        <v>46134</v>
      </c>
      <c r="M2" s="23" t="inlineStr">
        <is>
          <t>sprint-Hanna</t>
        </is>
      </c>
      <c r="N2" s="27" t="n">
        <v>0</v>
      </c>
      <c r="O2" s="27" t="n">
        <v>0</v>
      </c>
      <c r="P2" s="23" t="inlineStr">
        <is>
          <t>FILTER</t>
        </is>
      </c>
      <c r="Q2" s="23" t="inlineStr">
        <is>
          <t>unplanned-sprint</t>
        </is>
      </c>
      <c r="R2" s="23" t="inlineStr"/>
      <c r="S2" s="28" t="inlineStr">
        <is>
          <t>YES</t>
        </is>
      </c>
    </row>
    <row r="3">
      <c r="A3" s="23" t="inlineStr">
        <is>
          <t>Task</t>
        </is>
      </c>
      <c r="B3" s="24" t="inlineStr">
        <is>
          <t>FILTER-10604</t>
        </is>
      </c>
      <c r="C3" s="25" t="inlineStr">
        <is>
          <t>Placeholder task to track the efforts used for Vanta tool task completion</t>
        </is>
      </c>
      <c r="D3" s="23" t="inlineStr"/>
      <c r="E3" s="23" t="inlineStr"/>
      <c r="F3" s="23" t="inlineStr">
        <is>
          <t>Harsh Verma</t>
        </is>
      </c>
      <c r="G3" s="23" t="inlineStr">
        <is>
          <t>In Progress</t>
        </is>
      </c>
      <c r="H3" s="23" t="inlineStr"/>
      <c r="I3" s="23" t="inlineStr">
        <is>
          <t>P3</t>
        </is>
      </c>
      <c r="J3" s="26" t="n">
        <v>45964</v>
      </c>
      <c r="K3" s="23" t="n"/>
      <c r="L3" s="26" t="n">
        <v>46139</v>
      </c>
      <c r="M3" s="23" t="inlineStr">
        <is>
          <t>sprint-Hanna</t>
        </is>
      </c>
      <c r="N3" s="27" t="n">
        <v>0</v>
      </c>
      <c r="O3" s="27" t="n">
        <v>8</v>
      </c>
      <c r="P3" s="23" t="inlineStr">
        <is>
          <t>FILTER</t>
        </is>
      </c>
      <c r="Q3" s="23" t="inlineStr">
        <is>
          <t>unplanned-sprint</t>
        </is>
      </c>
      <c r="R3" s="23" t="inlineStr"/>
      <c r="S3" s="28" t="inlineStr">
        <is>
          <t>YES</t>
        </is>
      </c>
    </row>
    <row r="4">
      <c r="A4" s="23" t="inlineStr">
        <is>
          <t>Task</t>
        </is>
      </c>
      <c r="B4" s="24" t="inlineStr">
        <is>
          <t>FILTER-11697</t>
        </is>
      </c>
      <c r="C4" s="25" t="inlineStr">
        <is>
          <t>Extension of FILTER-11605</t>
        </is>
      </c>
      <c r="D4" s="23" t="inlineStr"/>
      <c r="E4" s="23" t="inlineStr"/>
      <c r="F4" s="23" t="inlineStr">
        <is>
          <t>Harsh Verma</t>
        </is>
      </c>
      <c r="G4" s="23" t="inlineStr">
        <is>
          <t>In Progress</t>
        </is>
      </c>
      <c r="H4" s="23" t="inlineStr"/>
      <c r="I4" s="23" t="inlineStr">
        <is>
          <t>P3</t>
        </is>
      </c>
      <c r="J4" s="26" t="n">
        <v>46041</v>
      </c>
      <c r="K4" s="23" t="n"/>
      <c r="L4" s="26" t="n">
        <v>46139</v>
      </c>
      <c r="M4" s="23" t="inlineStr">
        <is>
          <t>sprint-Hanna</t>
        </is>
      </c>
      <c r="N4" s="27" t="n">
        <v>0</v>
      </c>
      <c r="O4" s="27" t="n">
        <v>24</v>
      </c>
      <c r="P4" s="23" t="inlineStr">
        <is>
          <t>FILTER</t>
        </is>
      </c>
      <c r="Q4" s="23" t="inlineStr">
        <is>
          <t>unplanned-sprint</t>
        </is>
      </c>
      <c r="R4" s="23" t="inlineStr"/>
      <c r="S4" s="28" t="inlineStr">
        <is>
          <t>YES</t>
        </is>
      </c>
    </row>
    <row r="5">
      <c r="A5" s="23" t="inlineStr">
        <is>
          <t>Debug</t>
        </is>
      </c>
      <c r="B5" s="24" t="inlineStr">
        <is>
          <t>FILTER-13047</t>
        </is>
      </c>
      <c r="C5" s="25" t="inlineStr">
        <is>
          <t>Need to work on Secrets identified on Filter/Aware repo</t>
        </is>
      </c>
      <c r="D5" s="23" t="inlineStr"/>
      <c r="E5" s="23" t="inlineStr"/>
      <c r="F5" s="23" t="inlineStr">
        <is>
          <t>Harsh Verma</t>
        </is>
      </c>
      <c r="G5" s="23" t="inlineStr">
        <is>
          <t>Open</t>
        </is>
      </c>
      <c r="H5" s="23" t="inlineStr"/>
      <c r="I5" s="23" t="inlineStr">
        <is>
          <t>P3</t>
        </is>
      </c>
      <c r="J5" s="26" t="n">
        <v>46112</v>
      </c>
      <c r="K5" s="23" t="n"/>
      <c r="L5" s="26" t="n">
        <v>46139</v>
      </c>
      <c r="M5" s="23" t="inlineStr">
        <is>
          <t>sprint-Hanna</t>
        </is>
      </c>
      <c r="N5" s="27" t="n">
        <v>0</v>
      </c>
      <c r="O5" s="27" t="n">
        <v>16</v>
      </c>
      <c r="P5" s="23" t="inlineStr">
        <is>
          <t>FILTER</t>
        </is>
      </c>
      <c r="Q5" s="23" t="inlineStr">
        <is>
          <t>unplanned-sprint</t>
        </is>
      </c>
      <c r="R5" s="23" t="inlineStr"/>
      <c r="S5" s="28" t="inlineStr">
        <is>
          <t>YES</t>
        </is>
      </c>
    </row>
    <row r="6">
      <c r="A6" s="23" t="inlineStr">
        <is>
          <t>Escape Defect</t>
        </is>
      </c>
      <c r="B6" s="24" t="inlineStr">
        <is>
          <t>FILTER-12010</t>
        </is>
      </c>
      <c r="C6" s="25" t="inlineStr">
        <is>
          <t>P1 Escalation-Extension Bypass - Bookmark + stop page</t>
        </is>
      </c>
      <c r="D6" s="23" t="inlineStr"/>
      <c r="E6" s="23" t="inlineStr"/>
      <c r="F6" s="23" t="inlineStr">
        <is>
          <t>Pratik Tiwari</t>
        </is>
      </c>
      <c r="G6" s="23" t="inlineStr">
        <is>
          <t>Confirmation</t>
        </is>
      </c>
      <c r="H6" s="23" t="inlineStr">
        <is>
          <t>Fixed</t>
        </is>
      </c>
      <c r="I6" s="23" t="inlineStr">
        <is>
          <t>P1</t>
        </is>
      </c>
      <c r="J6" s="26" t="n">
        <v>46063</v>
      </c>
      <c r="K6" s="26" t="n">
        <v>46118</v>
      </c>
      <c r="L6" s="26" t="n">
        <v>46140</v>
      </c>
      <c r="M6" s="23" t="inlineStr">
        <is>
          <t>sprint-Hanna</t>
        </is>
      </c>
      <c r="N6" s="27" t="n">
        <v>20</v>
      </c>
      <c r="O6" s="27" t="n">
        <v>0</v>
      </c>
      <c r="P6" s="23" t="inlineStr">
        <is>
          <t>FILTER</t>
        </is>
      </c>
      <c r="Q6" s="23" t="inlineStr">
        <is>
          <t>jira_added, jira_confirmation, jira_done_notified, jira_escalated, jira_in_progress, jira_p1, jira_qa_verified, zendesk_enterprise, zendesk_org_at_risk</t>
        </is>
      </c>
      <c r="R6" s="23" t="inlineStr"/>
      <c r="S6" s="28" t="inlineStr">
        <is>
          <t>YES</t>
        </is>
      </c>
    </row>
    <row r="7">
      <c r="A7" s="23" t="inlineStr">
        <is>
          <t>Defect</t>
        </is>
      </c>
      <c r="B7" s="24" t="inlineStr">
        <is>
          <t>FILTER-7955</t>
        </is>
      </c>
      <c r="C7" s="25" t="inlineStr">
        <is>
          <t>[TS Extension]Google search results appear while typing in the bar</t>
        </is>
      </c>
      <c r="D7" s="23" t="inlineStr"/>
      <c r="E7" s="23" t="inlineStr"/>
      <c r="F7" s="23" t="inlineStr">
        <is>
          <t>Pratik Tiwari</t>
        </is>
      </c>
      <c r="G7" s="23" t="inlineStr">
        <is>
          <t>Open</t>
        </is>
      </c>
      <c r="H7" s="23" t="inlineStr"/>
      <c r="I7" s="23" t="inlineStr">
        <is>
          <t>P2</t>
        </is>
      </c>
      <c r="J7" s="26" t="n">
        <v>45765</v>
      </c>
      <c r="K7" s="23" t="n"/>
      <c r="L7" s="26" t="n">
        <v>46139</v>
      </c>
      <c r="M7" s="23" t="inlineStr">
        <is>
          <t>sprint-Hanna</t>
        </is>
      </c>
      <c r="N7" s="27" t="n">
        <v>0</v>
      </c>
      <c r="O7" s="27" t="n">
        <v>0</v>
      </c>
      <c r="P7" s="23" t="inlineStr">
        <is>
          <t>FILTER</t>
        </is>
      </c>
      <c r="Q7" s="23" t="inlineStr">
        <is>
          <t>EXTN, MV3</t>
        </is>
      </c>
      <c r="R7" s="23" t="inlineStr"/>
      <c r="S7" s="28" t="inlineStr">
        <is>
          <t>YES</t>
        </is>
      </c>
    </row>
    <row r="8">
      <c r="A8" s="23" t="inlineStr">
        <is>
          <t>Story</t>
        </is>
      </c>
      <c r="B8" s="24" t="inlineStr">
        <is>
          <t>FILTER-12473</t>
        </is>
      </c>
      <c r="C8" s="25" t="inlineStr">
        <is>
          <t>Filter + Aware Accessibility - Mat tree</t>
        </is>
      </c>
      <c r="D8" s="23" t="inlineStr"/>
      <c r="E8" s="23" t="inlineStr"/>
      <c r="F8" s="23" t="inlineStr">
        <is>
          <t>Swaroop Chavhan</t>
        </is>
      </c>
      <c r="G8" s="23" t="inlineStr">
        <is>
          <t>Backlog</t>
        </is>
      </c>
      <c r="H8" s="23" t="inlineStr"/>
      <c r="I8" s="23" t="inlineStr">
        <is>
          <t>P3</t>
        </is>
      </c>
      <c r="J8" s="26" t="n">
        <v>46094</v>
      </c>
      <c r="K8" s="23" t="n"/>
      <c r="L8" s="26" t="n">
        <v>46133</v>
      </c>
      <c r="M8" s="23" t="inlineStr">
        <is>
          <t>sprint-Hanna</t>
        </is>
      </c>
      <c r="N8" s="27" t="n">
        <v>0</v>
      </c>
      <c r="O8" s="27" t="n">
        <v>0</v>
      </c>
      <c r="P8" s="23" t="inlineStr">
        <is>
          <t>FILTER</t>
        </is>
      </c>
      <c r="Q8" s="23" t="inlineStr"/>
      <c r="R8" s="23" t="inlineStr"/>
      <c r="S8" s="28" t="inlineStr">
        <is>
          <t>YES</t>
        </is>
      </c>
    </row>
    <row r="9">
      <c r="A9" s="23" t="inlineStr">
        <is>
          <t>Task</t>
        </is>
      </c>
      <c r="B9" s="24" t="inlineStr">
        <is>
          <t>FILTER-13080</t>
        </is>
      </c>
      <c r="C9" s="25" t="inlineStr">
        <is>
          <t>Generate context for filter</t>
        </is>
      </c>
      <c r="D9" s="23" t="inlineStr">
        <is>
          <t>FILTER-12341</t>
        </is>
      </c>
      <c r="E9" s="23" t="inlineStr">
        <is>
          <t>Epic</t>
        </is>
      </c>
      <c r="F9" s="23" t="inlineStr">
        <is>
          <t>Vaibhav Kumbhar</t>
        </is>
      </c>
      <c r="G9" s="23" t="inlineStr">
        <is>
          <t>Code Review</t>
        </is>
      </c>
      <c r="H9" s="23" t="inlineStr">
        <is>
          <t>Fixed</t>
        </is>
      </c>
      <c r="I9" s="23" t="inlineStr">
        <is>
          <t>P3</t>
        </is>
      </c>
      <c r="J9" s="26" t="n">
        <v>46113</v>
      </c>
      <c r="K9" s="26" t="n">
        <v>46139</v>
      </c>
      <c r="L9" s="26" t="n">
        <v>46139</v>
      </c>
      <c r="M9" s="23" t="inlineStr">
        <is>
          <t>sprint-Hanna</t>
        </is>
      </c>
      <c r="N9" s="27" t="n">
        <v>2</v>
      </c>
      <c r="O9" s="27" t="n">
        <v>0</v>
      </c>
      <c r="P9" s="23" t="inlineStr">
        <is>
          <t>FILTER</t>
        </is>
      </c>
      <c r="Q9" s="23" t="inlineStr">
        <is>
          <t>unplanned-sprint</t>
        </is>
      </c>
      <c r="R9" s="23" t="inlineStr"/>
      <c r="S9" s="28" t="inlineStr">
        <is>
          <t>YES</t>
        </is>
      </c>
    </row>
    <row r="10">
      <c r="A10" t="inlineStr">
        <is>
          <t>Story</t>
        </is>
      </c>
      <c r="B10" s="29" t="inlineStr">
        <is>
          <t>FILTER-12400</t>
        </is>
      </c>
      <c r="C10" s="21" t="inlineStr">
        <is>
          <t>P1 Escalation - Extension API Fortification</t>
        </is>
      </c>
      <c r="D10" t="inlineStr"/>
      <c r="E10" t="inlineStr"/>
      <c r="F10" t="inlineStr">
        <is>
          <t>Ashish Modak</t>
        </is>
      </c>
      <c r="G10" t="inlineStr">
        <is>
          <t>Open</t>
        </is>
      </c>
      <c r="H10" t="inlineStr"/>
      <c r="I10" t="inlineStr">
        <is>
          <t>P1</t>
        </is>
      </c>
      <c r="J10" s="30" t="n">
        <v>46091</v>
      </c>
      <c r="L10" s="30" t="n">
        <v>46140</v>
      </c>
      <c r="M10" t="inlineStr">
        <is>
          <t>sprint-Hanna</t>
        </is>
      </c>
      <c r="N10" s="11" t="n">
        <v>0</v>
      </c>
      <c r="O10" s="11" t="n">
        <v>0</v>
      </c>
      <c r="P10" t="inlineStr">
        <is>
          <t>FILTER</t>
        </is>
      </c>
      <c r="Q10" t="inlineStr">
        <is>
          <t>p1escalation, unplanned-sprint</t>
        </is>
      </c>
      <c r="R10" t="inlineStr"/>
      <c r="S10" t="inlineStr"/>
    </row>
    <row r="11">
      <c r="A11" t="inlineStr">
        <is>
          <t>Escape Defect</t>
        </is>
      </c>
      <c r="B11" s="29" t="inlineStr">
        <is>
          <t>FILTER-10780</t>
        </is>
      </c>
      <c r="C11" s="21" t="inlineStr">
        <is>
          <t>SmartPAC on iOS can be broken by changing time on the iPad | St. Vrain</t>
        </is>
      </c>
      <c r="D11" t="inlineStr"/>
      <c r="E11" t="inlineStr"/>
      <c r="F11" t="inlineStr">
        <is>
          <t>Ashish Temurnikar</t>
        </is>
      </c>
      <c r="G11" t="inlineStr">
        <is>
          <t>Open</t>
        </is>
      </c>
      <c r="H11" t="inlineStr"/>
      <c r="I11" t="inlineStr">
        <is>
          <t>P2</t>
        </is>
      </c>
      <c r="J11" s="30" t="n">
        <v>45974</v>
      </c>
      <c r="L11" s="30" t="n">
        <v>46139</v>
      </c>
      <c r="M11" t="inlineStr">
        <is>
          <t>sprint-Hanna</t>
        </is>
      </c>
      <c r="N11" s="11" t="n">
        <v>5</v>
      </c>
      <c r="O11" s="11" t="n">
        <v>0</v>
      </c>
      <c r="P11" t="inlineStr">
        <is>
          <t>FILTER</t>
        </is>
      </c>
      <c r="Q11" t="inlineStr">
        <is>
          <t>jira_added, jira_backlog, jira_escalated, jira_open, jira_p2, zendesk_enterprise</t>
        </is>
      </c>
      <c r="R11" t="inlineStr"/>
      <c r="S11" t="inlineStr"/>
    </row>
    <row r="12">
      <c r="A12" t="inlineStr">
        <is>
          <t>Task</t>
        </is>
      </c>
      <c r="B12" s="29" t="inlineStr">
        <is>
          <t>FILTER-13290</t>
        </is>
      </c>
      <c r="C12" s="21" t="inlineStr">
        <is>
          <t>Update Filter code to route subdomains to PS whose parent domain categorization is enabled for Crextn</t>
        </is>
      </c>
      <c r="D12" t="inlineStr"/>
      <c r="E12" t="inlineStr"/>
      <c r="F12" t="inlineStr">
        <is>
          <t>Sagar Satpute</t>
        </is>
      </c>
      <c r="G12" t="inlineStr">
        <is>
          <t>Code Review</t>
        </is>
      </c>
      <c r="H12" t="inlineStr">
        <is>
          <t>Fixed</t>
        </is>
      </c>
      <c r="I12" t="inlineStr">
        <is>
          <t>P2</t>
        </is>
      </c>
      <c r="J12" s="30" t="n">
        <v>46119</v>
      </c>
      <c r="K12" s="30" t="n">
        <v>46139</v>
      </c>
      <c r="L12" s="30" t="n">
        <v>46140</v>
      </c>
      <c r="M12" t="inlineStr">
        <is>
          <t>sprint-Hanna</t>
        </is>
      </c>
      <c r="N12" s="11" t="n">
        <v>1</v>
      </c>
      <c r="O12" s="11" t="n">
        <v>0</v>
      </c>
      <c r="P12" t="inlineStr">
        <is>
          <t>FILTER</t>
        </is>
      </c>
      <c r="Q12" t="inlineStr"/>
      <c r="R12" t="inlineStr"/>
      <c r="S12" t="inlineStr"/>
    </row>
  </sheetData>
  <autoFilter ref="A1:S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8" t="inlineStr">
        <is>
          <t>P1 Escalation — FILTER · sprint-Hanna (2026-04-14 → 2026-04-27)</t>
        </is>
      </c>
    </row>
    <row r="2">
      <c r="A2" s="31" t="inlineStr">
        <is>
          <t>sprint-Hanna tickets where Issue Type = Escape Defect AND Priority = P1 AND summary contains 'P1 Escalation' (regardless of bucket). Total = 9.</t>
        </is>
      </c>
    </row>
    <row r="4">
      <c r="A4" s="32" t="inlineStr">
        <is>
          <t>Issue Type</t>
        </is>
      </c>
      <c r="B4" s="32" t="inlineStr">
        <is>
          <t>Issue key</t>
        </is>
      </c>
      <c r="C4" s="32" t="inlineStr">
        <is>
          <t>Summary</t>
        </is>
      </c>
      <c r="D4" s="32" t="inlineStr">
        <is>
          <t>Parent key</t>
        </is>
      </c>
      <c r="E4" s="32" t="inlineStr">
        <is>
          <t>Parent type</t>
        </is>
      </c>
      <c r="F4" s="32" t="inlineStr">
        <is>
          <t>Assignee</t>
        </is>
      </c>
      <c r="G4" s="32" t="inlineStr">
        <is>
          <t>Status</t>
        </is>
      </c>
      <c r="H4" s="32" t="inlineStr">
        <is>
          <t>Resolution</t>
        </is>
      </c>
      <c r="I4" s="32" t="inlineStr">
        <is>
          <t>Priority</t>
        </is>
      </c>
      <c r="J4" s="32" t="inlineStr">
        <is>
          <t>Created</t>
        </is>
      </c>
      <c r="K4" s="32" t="inlineStr">
        <is>
          <t>Resolved</t>
        </is>
      </c>
      <c r="L4" s="32" t="inlineStr">
        <is>
          <t>Updated</t>
        </is>
      </c>
      <c r="M4" s="32" t="inlineStr">
        <is>
          <t>Sprint</t>
        </is>
      </c>
      <c r="N4" s="32" t="inlineStr">
        <is>
          <t>Time Spent</t>
        </is>
      </c>
      <c r="O4" s="32" t="inlineStr">
        <is>
          <t>Original Est</t>
        </is>
      </c>
      <c r="P4" s="32" t="inlineStr">
        <is>
          <t>Project</t>
        </is>
      </c>
      <c r="Q4" s="32" t="inlineStr">
        <is>
          <t>Labels</t>
        </is>
      </c>
      <c r="R4" s="32" t="inlineStr">
        <is>
          <t>Blockers</t>
        </is>
      </c>
      <c r="S4" s="32" t="inlineStr">
        <is>
          <t>Bucket</t>
        </is>
      </c>
    </row>
    <row r="5">
      <c r="A5" s="33" t="inlineStr">
        <is>
          <t>Escape Defect</t>
        </is>
      </c>
      <c r="B5" s="34" t="inlineStr">
        <is>
          <t>FILTER-13117</t>
        </is>
      </c>
      <c r="C5" s="35" t="inlineStr">
        <is>
          <t>P1 Escalation-Students bypassing Filter using scrlybrkr</t>
        </is>
      </c>
      <c r="D5" s="33" t="inlineStr"/>
      <c r="E5" s="33" t="inlineStr"/>
      <c r="F5" s="33" t="inlineStr">
        <is>
          <t>Dmitri Zhylienkov</t>
        </is>
      </c>
      <c r="G5" s="33" t="inlineStr">
        <is>
          <t>Waiting on support</t>
        </is>
      </c>
      <c r="H5" s="33" t="inlineStr"/>
      <c r="I5" s="33" t="inlineStr">
        <is>
          <t>P1</t>
        </is>
      </c>
      <c r="J5" s="36" t="n">
        <v>46114</v>
      </c>
      <c r="K5" s="33" t="n"/>
      <c r="L5" s="36" t="n">
        <v>46140</v>
      </c>
      <c r="M5" s="33" t="inlineStr">
        <is>
          <t>sprint-Hanna</t>
        </is>
      </c>
      <c r="N5" s="37" t="n">
        <v>0</v>
      </c>
      <c r="O5" s="37" t="n">
        <v>0</v>
      </c>
      <c r="P5" s="33" t="inlineStr">
        <is>
          <t>FILTER</t>
        </is>
      </c>
      <c r="Q5" s="33" t="inlineStr">
        <is>
          <t>jira_added, jira_escalated, jira_open, jira_p1, p1escalation, zendesk_enterprise, zendesk_org_at_risk</t>
        </is>
      </c>
      <c r="R5" s="33" t="inlineStr"/>
      <c r="S5" s="38" t="inlineStr">
        <is>
          <t>Removed</t>
        </is>
      </c>
    </row>
    <row r="6">
      <c r="A6" s="33" t="inlineStr">
        <is>
          <t>Escape Defect</t>
        </is>
      </c>
      <c r="B6" s="34" t="inlineStr">
        <is>
          <t>FILTER-10053</t>
        </is>
      </c>
      <c r="C6" s="35" t="inlineStr">
        <is>
          <t>P1 Escalation-Chrome Extension is causing specific form not to load</t>
        </is>
      </c>
      <c r="D6" s="33" t="inlineStr"/>
      <c r="E6" s="33" t="inlineStr"/>
      <c r="F6" s="33" t="inlineStr">
        <is>
          <t>Shashank Tiwari</t>
        </is>
      </c>
      <c r="G6" s="33" t="inlineStr">
        <is>
          <t>Open</t>
        </is>
      </c>
      <c r="H6" s="33" t="inlineStr"/>
      <c r="I6" s="33" t="inlineStr">
        <is>
          <t>P1</t>
        </is>
      </c>
      <c r="J6" s="36" t="n">
        <v>45915</v>
      </c>
      <c r="K6" s="33" t="n"/>
      <c r="L6" s="36" t="n">
        <v>46140</v>
      </c>
      <c r="M6" s="33" t="inlineStr">
        <is>
          <t>sprint-Hanna</t>
        </is>
      </c>
      <c r="N6" s="37" t="n">
        <v>0</v>
      </c>
      <c r="O6" s="37" t="n">
        <v>0</v>
      </c>
      <c r="P6" s="33" t="inlineStr">
        <is>
          <t>FILTER</t>
        </is>
      </c>
      <c r="Q6" s="33" t="inlineStr">
        <is>
          <t>Reverified-2025, jira_added, jira_backlog, jira_escalated, jira_open, jira_p1, jira_p2, jira_p3, p1escalation, unplanned-sprint, zendesk_enterprise</t>
        </is>
      </c>
      <c r="R6" s="33" t="inlineStr"/>
      <c r="S6" s="38" t="inlineStr">
        <is>
          <t>Not Completed</t>
        </is>
      </c>
    </row>
    <row r="7">
      <c r="A7" s="33" t="inlineStr">
        <is>
          <t>Escape Defect</t>
        </is>
      </c>
      <c r="B7" s="34" t="inlineStr">
        <is>
          <t>FILTER-12119</t>
        </is>
      </c>
      <c r="C7" s="35" t="inlineStr">
        <is>
          <t>P1 Escalation-Investigate and address the use of about:blank pages as a filter loophole</t>
        </is>
      </c>
      <c r="D7" s="33" t="inlineStr"/>
      <c r="E7" s="33" t="inlineStr"/>
      <c r="F7" s="33" t="inlineStr">
        <is>
          <t>Shashank Tiwari</t>
        </is>
      </c>
      <c r="G7" s="33" t="inlineStr">
        <is>
          <t>In Progress</t>
        </is>
      </c>
      <c r="H7" s="33" t="inlineStr"/>
      <c r="I7" s="33" t="inlineStr">
        <is>
          <t>P1</t>
        </is>
      </c>
      <c r="J7" s="36" t="n">
        <v>46073</v>
      </c>
      <c r="K7" s="33" t="n"/>
      <c r="L7" s="36" t="n">
        <v>46140</v>
      </c>
      <c r="M7" s="33" t="inlineStr">
        <is>
          <t>sprint-Hanna</t>
        </is>
      </c>
      <c r="N7" s="37" t="n">
        <v>20</v>
      </c>
      <c r="O7" s="37" t="n">
        <v>0</v>
      </c>
      <c r="P7" s="33" t="inlineStr">
        <is>
          <t>FILTER</t>
        </is>
      </c>
      <c r="Q7" s="33" t="inlineStr">
        <is>
          <t>jira_added, jira_escalated, jira_in_progress, jira_open, jira_p1, jira_p2, p1escalation, zendesk_enterprise, zendesk_org_at_risk</t>
        </is>
      </c>
      <c r="R7" s="33" t="inlineStr"/>
      <c r="S7" s="38" t="inlineStr">
        <is>
          <t>Not Completed</t>
        </is>
      </c>
    </row>
    <row r="8">
      <c r="A8" s="33" t="inlineStr">
        <is>
          <t>Escape Defect</t>
        </is>
      </c>
      <c r="B8" s="34" t="inlineStr">
        <is>
          <t>FILTER-12476</t>
        </is>
      </c>
      <c r="C8" s="35" t="inlineStr">
        <is>
          <t>P1 Escalation-Extension Bypass - Opening new tab</t>
        </is>
      </c>
      <c r="D8" s="33" t="inlineStr"/>
      <c r="E8" s="33" t="inlineStr"/>
      <c r="F8" s="33" t="inlineStr">
        <is>
          <t>Shashank Tiwari</t>
        </is>
      </c>
      <c r="G8" s="33" t="inlineStr">
        <is>
          <t>QA READY</t>
        </is>
      </c>
      <c r="H8" s="33" t="inlineStr">
        <is>
          <t>Fixed</t>
        </is>
      </c>
      <c r="I8" s="33" t="inlineStr">
        <is>
          <t>P1</t>
        </is>
      </c>
      <c r="J8" s="36" t="n">
        <v>46094</v>
      </c>
      <c r="K8" s="36" t="n">
        <v>46140</v>
      </c>
      <c r="L8" s="36" t="n">
        <v>46140</v>
      </c>
      <c r="M8" s="33" t="inlineStr">
        <is>
          <t>sprint-Hanna</t>
        </is>
      </c>
      <c r="N8" s="37" t="n">
        <v>1</v>
      </c>
      <c r="O8" s="37" t="n">
        <v>0</v>
      </c>
      <c r="P8" s="33" t="inlineStr">
        <is>
          <t>FILTER</t>
        </is>
      </c>
      <c r="Q8" s="33" t="inlineStr">
        <is>
          <t>jira_added, jira_escalated, jira_in_progress, jira_open, jira_p1, zendesk_enterprise</t>
        </is>
      </c>
      <c r="R8" s="33" t="inlineStr"/>
      <c r="S8" s="38" t="inlineStr">
        <is>
          <t>Removed</t>
        </is>
      </c>
    </row>
    <row r="9">
      <c r="A9" s="33" t="inlineStr">
        <is>
          <t>Escape Defect</t>
        </is>
      </c>
      <c r="B9" s="34" t="inlineStr">
        <is>
          <t>FILTER-12619</t>
        </is>
      </c>
      <c r="C9" s="35" t="inlineStr">
        <is>
          <t>P1 Escalation-Policy Map Import not showing policy names | San Ramon</t>
        </is>
      </c>
      <c r="D9" s="33" t="inlineStr"/>
      <c r="E9" s="33" t="inlineStr"/>
      <c r="F9" s="33" t="inlineStr">
        <is>
          <t>Shashank Tiwari</t>
        </is>
      </c>
      <c r="G9" s="33" t="inlineStr">
        <is>
          <t>Waiting on support</t>
        </is>
      </c>
      <c r="H9" s="33" t="inlineStr"/>
      <c r="I9" s="33" t="inlineStr">
        <is>
          <t>P1</t>
        </is>
      </c>
      <c r="J9" s="36" t="n">
        <v>46104</v>
      </c>
      <c r="K9" s="33" t="n"/>
      <c r="L9" s="36" t="n">
        <v>46140</v>
      </c>
      <c r="M9" s="33" t="inlineStr">
        <is>
          <t>sprint-Hanna</t>
        </is>
      </c>
      <c r="N9" s="37" t="n">
        <v>0</v>
      </c>
      <c r="O9" s="37" t="n">
        <v>0</v>
      </c>
      <c r="P9" s="33" t="inlineStr">
        <is>
          <t>FILTER</t>
        </is>
      </c>
      <c r="Q9" s="33" t="inlineStr">
        <is>
          <t>Reverified-2026, jira_added, jira_backlog, jira_escalated, jira_in_progress, jira_open, jira_p1, jira_p2, jira_p3, p1escalation, zendesk_enterprise</t>
        </is>
      </c>
      <c r="R9" s="33" t="inlineStr"/>
      <c r="S9" s="38" t="inlineStr">
        <is>
          <t>Removed</t>
        </is>
      </c>
    </row>
    <row r="10">
      <c r="A10" t="inlineStr">
        <is>
          <t>Escape Defect</t>
        </is>
      </c>
      <c r="B10" s="29" t="inlineStr">
        <is>
          <t>FILTER-12010</t>
        </is>
      </c>
      <c r="C10" s="21" t="inlineStr">
        <is>
          <t>P1 Escalation-Extension Bypass - Bookmark + stop page</t>
        </is>
      </c>
      <c r="D10" t="inlineStr"/>
      <c r="E10" t="inlineStr"/>
      <c r="F10" t="inlineStr">
        <is>
          <t>Pratik Tiwari</t>
        </is>
      </c>
      <c r="G10" t="inlineStr">
        <is>
          <t>Confirmation</t>
        </is>
      </c>
      <c r="H10" t="inlineStr">
        <is>
          <t>Fixed</t>
        </is>
      </c>
      <c r="I10" t="inlineStr">
        <is>
          <t>P1</t>
        </is>
      </c>
      <c r="J10" s="30" t="n">
        <v>46063</v>
      </c>
      <c r="K10" s="30" t="n">
        <v>46118</v>
      </c>
      <c r="L10" s="30" t="n">
        <v>46140</v>
      </c>
      <c r="M10" t="inlineStr">
        <is>
          <t>sprint-Hanna</t>
        </is>
      </c>
      <c r="N10" s="11" t="n">
        <v>20</v>
      </c>
      <c r="O10" s="11" t="n">
        <v>0</v>
      </c>
      <c r="P10" t="inlineStr">
        <is>
          <t>FILTER</t>
        </is>
      </c>
      <c r="Q10" t="inlineStr">
        <is>
          <t>jira_added, jira_confirmation, jira_done_notified, jira_escalated, jira_in_progress, jira_p1, jira_qa_verified, zendesk_enterprise, zendesk_org_at_risk</t>
        </is>
      </c>
      <c r="R10" t="inlineStr"/>
      <c r="S10" t="inlineStr">
        <is>
          <t>Removed</t>
        </is>
      </c>
    </row>
    <row r="11">
      <c r="A11" t="inlineStr">
        <is>
          <t>Escape Defect</t>
        </is>
      </c>
      <c r="B11" s="29" t="inlineStr">
        <is>
          <t>FILTER-11654</t>
        </is>
      </c>
      <c r="C11" s="21" t="inlineStr">
        <is>
          <t>P1 Escalation-Crextn blocking issue with Google Workspace apps</t>
        </is>
      </c>
      <c r="D11" t="inlineStr">
        <is>
          <t>FILTER-4326</t>
        </is>
      </c>
      <c r="E11" t="inlineStr">
        <is>
          <t>Epic</t>
        </is>
      </c>
      <c r="F11" t="inlineStr">
        <is>
          <t>Shashank Tiwari</t>
        </is>
      </c>
      <c r="G11" t="inlineStr">
        <is>
          <t>QA Verified</t>
        </is>
      </c>
      <c r="H11" t="inlineStr">
        <is>
          <t>Done</t>
        </is>
      </c>
      <c r="I11" t="inlineStr">
        <is>
          <t>P1</t>
        </is>
      </c>
      <c r="J11" s="30" t="n">
        <v>46037</v>
      </c>
      <c r="K11" s="30" t="n">
        <v>46118</v>
      </c>
      <c r="L11" s="30" t="n">
        <v>46140</v>
      </c>
      <c r="M11" t="inlineStr">
        <is>
          <t>sprint-Hanna</t>
        </is>
      </c>
      <c r="N11" s="11" t="n">
        <v>0</v>
      </c>
      <c r="O11" s="11" t="n">
        <v>0</v>
      </c>
      <c r="P11" t="inlineStr">
        <is>
          <t>FILTER</t>
        </is>
      </c>
      <c r="Q11" t="inlineStr">
        <is>
          <t>jira_added, jira_escalated, jira_in_progress, jira_open, jira_p1, jira_qa_verified, jira_resolved</t>
        </is>
      </c>
      <c r="R11" t="inlineStr"/>
      <c r="S11" t="inlineStr">
        <is>
          <t>Completed</t>
        </is>
      </c>
    </row>
    <row r="12">
      <c r="A12" t="inlineStr">
        <is>
          <t>Escape Defect</t>
        </is>
      </c>
      <c r="B12" s="29" t="inlineStr">
        <is>
          <t>FILTER-13105</t>
        </is>
      </c>
      <c r="C12" s="21" t="inlineStr">
        <is>
          <t xml:space="preserve">P1 Escalation-Looking for solution for HTML Editor vulnerabilities </t>
        </is>
      </c>
      <c r="D12" t="inlineStr"/>
      <c r="E12" t="inlineStr"/>
      <c r="F12" t="inlineStr">
        <is>
          <t>Shashank Tiwari</t>
        </is>
      </c>
      <c r="G12" t="inlineStr">
        <is>
          <t>QA Verified</t>
        </is>
      </c>
      <c r="H12" t="inlineStr">
        <is>
          <t>Configuration Issue</t>
        </is>
      </c>
      <c r="I12" t="inlineStr">
        <is>
          <t>P1</t>
        </is>
      </c>
      <c r="J12" s="30" t="n">
        <v>46114</v>
      </c>
      <c r="K12" s="30" t="n">
        <v>46129</v>
      </c>
      <c r="L12" s="30" t="n">
        <v>46139</v>
      </c>
      <c r="M12" t="inlineStr">
        <is>
          <t>sprint-Hanna</t>
        </is>
      </c>
      <c r="N12" s="11" t="n">
        <v>21</v>
      </c>
      <c r="O12" s="11" t="n">
        <v>0</v>
      </c>
      <c r="P12" t="inlineStr">
        <is>
          <t>FILTER</t>
        </is>
      </c>
      <c r="Q12" t="inlineStr">
        <is>
          <t>Reverified-2026, jira_added, jira_closed_notify, jira_done, jira_escalated, jira_in_progress, jira_open, jira_p1, jira_qa_verified, p1escalation, unplanned-sprint, zendesk_enterprise</t>
        </is>
      </c>
      <c r="R12" t="inlineStr"/>
      <c r="S12" t="inlineStr">
        <is>
          <t>Completed</t>
        </is>
      </c>
    </row>
    <row r="13">
      <c r="A13" t="inlineStr">
        <is>
          <t>Escape Defect</t>
        </is>
      </c>
      <c r="B13" s="29" t="inlineStr">
        <is>
          <t>FILTER-7666</t>
        </is>
      </c>
      <c r="C13" s="21" t="inlineStr">
        <is>
          <t>P1 Escalation-File downloading in Image Google Search</t>
        </is>
      </c>
      <c r="D13" t="inlineStr"/>
      <c r="E13" t="inlineStr"/>
      <c r="F13" t="inlineStr">
        <is>
          <t>Shashank Tiwari</t>
        </is>
      </c>
      <c r="G13" t="inlineStr">
        <is>
          <t>Confirmation</t>
        </is>
      </c>
      <c r="H13" t="inlineStr">
        <is>
          <t>Cannot Reproduce</t>
        </is>
      </c>
      <c r="I13" t="inlineStr">
        <is>
          <t>P1</t>
        </is>
      </c>
      <c r="J13" s="30" t="n">
        <v>45742</v>
      </c>
      <c r="K13" s="30" t="n">
        <v>45904</v>
      </c>
      <c r="L13" s="30" t="n">
        <v>46140</v>
      </c>
      <c r="M13" t="inlineStr">
        <is>
          <t>sprint-Hanna</t>
        </is>
      </c>
      <c r="N13" s="11" t="n">
        <v>2</v>
      </c>
      <c r="O13" s="11" t="n">
        <v>12</v>
      </c>
      <c r="P13" t="inlineStr">
        <is>
          <t>FILTER</t>
        </is>
      </c>
      <c r="Q13" t="inlineStr">
        <is>
          <t>Reverified-2026, jira_added, jira_backlog, jira_closed_notify, jira_confirmation, jira_done_notified, jira_escalated, jira_in_progress, jira_open, jira_p1, jira_reopened, jira_resolved, zendesk_org_at_risk</t>
        </is>
      </c>
      <c r="R13" t="inlineStr"/>
      <c r="S13" t="inlineStr">
        <is>
          <t>Removed</t>
        </is>
      </c>
    </row>
  </sheetData>
  <autoFilter ref="A4:S13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2026-04-29T03:10:48Z</dcterms:created>
  <dcterms:modified xsi:type="dcterms:W3CDTF">2026-04-29T03:10:49Z</dcterms:modified>
</cp:coreProperties>
</file>