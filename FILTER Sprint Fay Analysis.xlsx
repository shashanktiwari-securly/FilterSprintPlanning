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'Completed'!$A$1:$S$139</definedName>
    <definedName name="_xlnm._FilterDatabase" localSheetId="3" hidden="1">'Not Completed'!$A$1:$S$12</definedName>
    <definedName name="_xlnm._FilterDatabase" localSheetId="4" hidden="1">'Removed'!$A$1:$S$9</definedName>
    <definedName name="_xlnm._FilterDatabase" localSheetId="5" hidden="1">'P1 Escalation'!$A$4:$S$11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0061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4" borderId="0" pivotButton="0" quotePrefix="0" xfId="0"/>
    <xf numFmtId="1" fontId="0" fillId="0" borderId="0" pivotButton="0" quotePrefix="0" xfId="0"/>
    <xf numFmtId="2" fontId="0" fillId="4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6" borderId="0" pivotButton="0" quotePrefix="0" xfId="0"/>
    <xf numFmtId="0" fontId="9" fillId="6" borderId="0" pivotButton="0" quotePrefix="0" xfId="0"/>
    <xf numFmtId="0" fontId="0" fillId="6" borderId="0" applyAlignment="1" pivotButton="0" quotePrefix="0" xfId="0">
      <alignment vertical="top" wrapText="1"/>
    </xf>
    <xf numFmtId="167" fontId="0" fillId="6" borderId="0" pivotButton="0" quotePrefix="0" xfId="0"/>
    <xf numFmtId="2" fontId="0" fillId="6" borderId="0" pivotButton="0" quotePrefix="0" xfId="0"/>
    <xf numFmtId="0" fontId="8" fillId="6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11" fillId="7" borderId="0" pivotButton="0" quotePrefix="0" xfId="0"/>
    <xf numFmtId="0" fontId="0" fillId="8" borderId="0" pivotButton="0" quotePrefix="0" xfId="0"/>
    <xf numFmtId="0" fontId="9" fillId="8" borderId="0" pivotButton="0" quotePrefix="0" xfId="0"/>
    <xf numFmtId="0" fontId="0" fillId="8" borderId="0" applyAlignment="1" pivotButton="0" quotePrefix="0" xfId="0">
      <alignment vertical="top" wrapText="1"/>
    </xf>
    <xf numFmtId="167" fontId="0" fillId="8" borderId="0" pivotButton="0" quotePrefix="0" xfId="0"/>
    <xf numFmtId="2" fontId="0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2693" TargetMode="External" Id="rId1" /><Relationship Type="http://schemas.openxmlformats.org/officeDocument/2006/relationships/hyperlink" Target="https://securly.atlassian.net/browse/FILTER-12543" TargetMode="External" Id="rId2" /><Relationship Type="http://schemas.openxmlformats.org/officeDocument/2006/relationships/hyperlink" Target="https://securly.atlassian.net/browse/FILTER-12293" TargetMode="External" Id="rId3" /><Relationship Type="http://schemas.openxmlformats.org/officeDocument/2006/relationships/hyperlink" Target="https://securly.atlassian.net/browse/FILTER-12305" TargetMode="External" Id="rId4" /><Relationship Type="http://schemas.openxmlformats.org/officeDocument/2006/relationships/hyperlink" Target="https://securly.atlassian.net/browse/FILTER-12311" TargetMode="External" Id="rId5" /><Relationship Type="http://schemas.openxmlformats.org/officeDocument/2006/relationships/hyperlink" Target="https://securly.atlassian.net/browse/FILTER-12474" TargetMode="External" Id="rId6" /><Relationship Type="http://schemas.openxmlformats.org/officeDocument/2006/relationships/hyperlink" Target="https://securly.atlassian.net/browse/FILTER-12681" TargetMode="External" Id="rId7" /><Relationship Type="http://schemas.openxmlformats.org/officeDocument/2006/relationships/hyperlink" Target="https://securly.atlassian.net/browse/FILTER-12677" TargetMode="External" Id="rId8" /><Relationship Type="http://schemas.openxmlformats.org/officeDocument/2006/relationships/hyperlink" Target="https://securly.atlassian.net/browse/FILTER-12796" TargetMode="External" Id="rId9" /><Relationship Type="http://schemas.openxmlformats.org/officeDocument/2006/relationships/hyperlink" Target="https://securly.atlassian.net/browse/FILTER-12332" TargetMode="External" Id="rId10" /><Relationship Type="http://schemas.openxmlformats.org/officeDocument/2006/relationships/hyperlink" Target="https://securly.atlassian.net/browse/FILTER-12334" TargetMode="External" Id="rId11" /><Relationship Type="http://schemas.openxmlformats.org/officeDocument/2006/relationships/hyperlink" Target="https://securly.atlassian.net/browse/FILTER-12970" TargetMode="External" Id="rId12" /><Relationship Type="http://schemas.openxmlformats.org/officeDocument/2006/relationships/hyperlink" Target="https://securly.atlassian.net/browse/FILTER-12971" TargetMode="External" Id="rId13" /><Relationship Type="http://schemas.openxmlformats.org/officeDocument/2006/relationships/hyperlink" Target="https://securly.atlassian.net/browse/FILTER-12972" TargetMode="External" Id="rId14" /><Relationship Type="http://schemas.openxmlformats.org/officeDocument/2006/relationships/hyperlink" Target="https://securly.atlassian.net/browse/FILTER-13024" TargetMode="External" Id="rId15" /><Relationship Type="http://schemas.openxmlformats.org/officeDocument/2006/relationships/hyperlink" Target="https://securly.atlassian.net/browse/FILTER-10777" TargetMode="External" Id="rId16" /><Relationship Type="http://schemas.openxmlformats.org/officeDocument/2006/relationships/hyperlink" Target="https://securly.atlassian.net/browse/FILTER-12697" TargetMode="External" Id="rId17" /><Relationship Type="http://schemas.openxmlformats.org/officeDocument/2006/relationships/hyperlink" Target="https://securly.atlassian.net/browse/FILTER-12467" TargetMode="External" Id="rId18" /><Relationship Type="http://schemas.openxmlformats.org/officeDocument/2006/relationships/hyperlink" Target="https://securly.atlassian.net/browse/FILTER-12472" TargetMode="External" Id="rId19" /><Relationship Type="http://schemas.openxmlformats.org/officeDocument/2006/relationships/hyperlink" Target="https://securly.atlassian.net/browse/FILTER-12342" TargetMode="External" Id="rId20" /><Relationship Type="http://schemas.openxmlformats.org/officeDocument/2006/relationships/hyperlink" Target="https://securly.atlassian.net/browse/FILTER-11569" TargetMode="External" Id="rId21" /><Relationship Type="http://schemas.openxmlformats.org/officeDocument/2006/relationships/hyperlink" Target="https://securly.atlassian.net/browse/FILTER-11974" TargetMode="External" Id="rId22" /><Relationship Type="http://schemas.openxmlformats.org/officeDocument/2006/relationships/hyperlink" Target="https://securly.atlassian.net/browse/FILTER-12166" TargetMode="External" Id="rId23" /><Relationship Type="http://schemas.openxmlformats.org/officeDocument/2006/relationships/hyperlink" Target="https://securly.atlassian.net/browse/FILTER-12196" TargetMode="External" Id="rId24" /><Relationship Type="http://schemas.openxmlformats.org/officeDocument/2006/relationships/hyperlink" Target="https://securly.atlassian.net/browse/FILTER-12287" TargetMode="External" Id="rId25" /><Relationship Type="http://schemas.openxmlformats.org/officeDocument/2006/relationships/hyperlink" Target="https://securly.atlassian.net/browse/FILTER-12339" TargetMode="External" Id="rId26" /><Relationship Type="http://schemas.openxmlformats.org/officeDocument/2006/relationships/hyperlink" Target="https://securly.atlassian.net/browse/FILTER-12350" TargetMode="External" Id="rId27" /><Relationship Type="http://schemas.openxmlformats.org/officeDocument/2006/relationships/hyperlink" Target="https://securly.atlassian.net/browse/FILTER-12353" TargetMode="External" Id="rId28" /><Relationship Type="http://schemas.openxmlformats.org/officeDocument/2006/relationships/hyperlink" Target="https://securly.atlassian.net/browse/FILTER-12528" TargetMode="External" Id="rId29" /><Relationship Type="http://schemas.openxmlformats.org/officeDocument/2006/relationships/hyperlink" Target="https://securly.atlassian.net/browse/FILTER-12529" TargetMode="External" Id="rId30" /><Relationship Type="http://schemas.openxmlformats.org/officeDocument/2006/relationships/hyperlink" Target="https://securly.atlassian.net/browse/FILTER-12530" TargetMode="External" Id="rId31" /><Relationship Type="http://schemas.openxmlformats.org/officeDocument/2006/relationships/hyperlink" Target="https://securly.atlassian.net/browse/FILTER-12531" TargetMode="External" Id="rId32" /><Relationship Type="http://schemas.openxmlformats.org/officeDocument/2006/relationships/hyperlink" Target="https://securly.atlassian.net/browse/FILTER-12599" TargetMode="External" Id="rId33" /><Relationship Type="http://schemas.openxmlformats.org/officeDocument/2006/relationships/hyperlink" Target="https://securly.atlassian.net/browse/FILTER-12654" TargetMode="External" Id="rId34" /><Relationship Type="http://schemas.openxmlformats.org/officeDocument/2006/relationships/hyperlink" Target="https://securly.atlassian.net/browse/FILTER-12683" TargetMode="External" Id="rId35" /><Relationship Type="http://schemas.openxmlformats.org/officeDocument/2006/relationships/hyperlink" Target="https://securly.atlassian.net/browse/FILTER-11660" TargetMode="External" Id="rId36" /><Relationship Type="http://schemas.openxmlformats.org/officeDocument/2006/relationships/hyperlink" Target="https://securly.atlassian.net/browse/FILTER-11845" TargetMode="External" Id="rId37" /><Relationship Type="http://schemas.openxmlformats.org/officeDocument/2006/relationships/hyperlink" Target="https://securly.atlassian.net/browse/FILTER-11975" TargetMode="External" Id="rId38" /><Relationship Type="http://schemas.openxmlformats.org/officeDocument/2006/relationships/hyperlink" Target="https://securly.atlassian.net/browse/FILTER-12023" TargetMode="External" Id="rId39" /><Relationship Type="http://schemas.openxmlformats.org/officeDocument/2006/relationships/hyperlink" Target="https://securly.atlassian.net/browse/FILTER-12167" TargetMode="External" Id="rId40" /><Relationship Type="http://schemas.openxmlformats.org/officeDocument/2006/relationships/hyperlink" Target="https://securly.atlassian.net/browse/FILTER-12340" TargetMode="External" Id="rId41" /><Relationship Type="http://schemas.openxmlformats.org/officeDocument/2006/relationships/hyperlink" Target="https://securly.atlassian.net/browse/FILTER-12351" TargetMode="External" Id="rId42" /><Relationship Type="http://schemas.openxmlformats.org/officeDocument/2006/relationships/hyperlink" Target="https://securly.atlassian.net/browse/FILTER-12354" TargetMode="External" Id="rId43" /><Relationship Type="http://schemas.openxmlformats.org/officeDocument/2006/relationships/hyperlink" Target="https://securly.atlassian.net/browse/FILTER-12434" TargetMode="External" Id="rId44" /><Relationship Type="http://schemas.openxmlformats.org/officeDocument/2006/relationships/hyperlink" Target="https://securly.atlassian.net/browse/FILTER-12438" TargetMode="External" Id="rId45" /><Relationship Type="http://schemas.openxmlformats.org/officeDocument/2006/relationships/hyperlink" Target="https://securly.atlassian.net/browse/FILTER-12484" TargetMode="External" Id="rId46" /><Relationship Type="http://schemas.openxmlformats.org/officeDocument/2006/relationships/hyperlink" Target="https://securly.atlassian.net/browse/FILTER-12600" TargetMode="External" Id="rId47" /><Relationship Type="http://schemas.openxmlformats.org/officeDocument/2006/relationships/hyperlink" Target="https://securly.atlassian.net/browse/FILTER-12605" TargetMode="External" Id="rId48" /><Relationship Type="http://schemas.openxmlformats.org/officeDocument/2006/relationships/hyperlink" Target="https://securly.atlassian.net/browse/FILTER-12609" TargetMode="External" Id="rId49" /><Relationship Type="http://schemas.openxmlformats.org/officeDocument/2006/relationships/hyperlink" Target="https://securly.atlassian.net/browse/FILTER-12655" TargetMode="External" Id="rId50" /><Relationship Type="http://schemas.openxmlformats.org/officeDocument/2006/relationships/hyperlink" Target="https://securly.atlassian.net/browse/FILTER-12680" TargetMode="External" Id="rId51" /><Relationship Type="http://schemas.openxmlformats.org/officeDocument/2006/relationships/hyperlink" Target="https://securly.atlassian.net/browse/FILTER-12684" TargetMode="External" Id="rId52" /><Relationship Type="http://schemas.openxmlformats.org/officeDocument/2006/relationships/hyperlink" Target="https://securly.atlassian.net/browse/FILTER-12696" TargetMode="External" Id="rId53" /><Relationship Type="http://schemas.openxmlformats.org/officeDocument/2006/relationships/hyperlink" Target="https://securly.atlassian.net/browse/FILTER-12700" TargetMode="External" Id="rId54" /><Relationship Type="http://schemas.openxmlformats.org/officeDocument/2006/relationships/hyperlink" Target="https://securly.atlassian.net/browse/FILTER-12799" TargetMode="External" Id="rId55" /><Relationship Type="http://schemas.openxmlformats.org/officeDocument/2006/relationships/hyperlink" Target="https://securly.atlassian.net/browse/FILTER-11568" TargetMode="External" Id="rId56" /><Relationship Type="http://schemas.openxmlformats.org/officeDocument/2006/relationships/hyperlink" Target="https://securly.atlassian.net/browse/FILTER-12006" TargetMode="External" Id="rId57" /><Relationship Type="http://schemas.openxmlformats.org/officeDocument/2006/relationships/hyperlink" Target="https://securly.atlassian.net/browse/FILTER-12458" TargetMode="External" Id="rId58" /><Relationship Type="http://schemas.openxmlformats.org/officeDocument/2006/relationships/hyperlink" Target="https://securly.atlassian.net/browse/FILTER-12140" TargetMode="External" Id="rId59" /><Relationship Type="http://schemas.openxmlformats.org/officeDocument/2006/relationships/hyperlink" Target="https://securly.atlassian.net/browse/FILTER-12229" TargetMode="External" Id="rId60" /><Relationship Type="http://schemas.openxmlformats.org/officeDocument/2006/relationships/hyperlink" Target="https://securly.atlassian.net/browse/FILTER-12266" TargetMode="External" Id="rId61" /><Relationship Type="http://schemas.openxmlformats.org/officeDocument/2006/relationships/hyperlink" Target="https://securly.atlassian.net/browse/FILTER-12270" TargetMode="External" Id="rId62" /><Relationship Type="http://schemas.openxmlformats.org/officeDocument/2006/relationships/hyperlink" Target="https://securly.atlassian.net/browse/FILTER-12273" TargetMode="External" Id="rId63" /><Relationship Type="http://schemas.openxmlformats.org/officeDocument/2006/relationships/hyperlink" Target="https://securly.atlassian.net/browse/FILTER-12276" TargetMode="External" Id="rId64" /><Relationship Type="http://schemas.openxmlformats.org/officeDocument/2006/relationships/hyperlink" Target="https://securly.atlassian.net/browse/FILTER-12279" TargetMode="External" Id="rId65" /><Relationship Type="http://schemas.openxmlformats.org/officeDocument/2006/relationships/hyperlink" Target="https://securly.atlassian.net/browse/FILTER-12595" TargetMode="External" Id="rId66" /><Relationship Type="http://schemas.openxmlformats.org/officeDocument/2006/relationships/hyperlink" Target="https://securly.atlassian.net/browse/FILTER-12653" TargetMode="External" Id="rId67" /><Relationship Type="http://schemas.openxmlformats.org/officeDocument/2006/relationships/hyperlink" Target="https://securly.atlassian.net/browse/FILTER-12694" TargetMode="External" Id="rId68" /><Relationship Type="http://schemas.openxmlformats.org/officeDocument/2006/relationships/hyperlink" Target="https://securly.atlassian.net/browse/FILTER-12695" TargetMode="External" Id="rId69" /><Relationship Type="http://schemas.openxmlformats.org/officeDocument/2006/relationships/hyperlink" Target="https://securly.atlassian.net/browse/FILTER-12482" TargetMode="External" Id="rId70" /><Relationship Type="http://schemas.openxmlformats.org/officeDocument/2006/relationships/hyperlink" Target="https://securly.atlassian.net/browse/FILTER-11567" TargetMode="External" Id="rId71" /><Relationship Type="http://schemas.openxmlformats.org/officeDocument/2006/relationships/hyperlink" Target="https://securly.atlassian.net/browse/FILTER-12005" TargetMode="External" Id="rId72" /><Relationship Type="http://schemas.openxmlformats.org/officeDocument/2006/relationships/hyperlink" Target="https://securly.atlassian.net/browse/FILTER-11897" TargetMode="External" Id="rId73" /><Relationship Type="http://schemas.openxmlformats.org/officeDocument/2006/relationships/hyperlink" Target="https://securly.atlassian.net/browse/FILTER-12102" TargetMode="External" Id="rId74" /><Relationship Type="http://schemas.openxmlformats.org/officeDocument/2006/relationships/hyperlink" Target="https://securly.atlassian.net/browse/FILTER-12141" TargetMode="External" Id="rId75" /><Relationship Type="http://schemas.openxmlformats.org/officeDocument/2006/relationships/hyperlink" Target="https://securly.atlassian.net/browse/FILTER-12230" TargetMode="External" Id="rId76" /><Relationship Type="http://schemas.openxmlformats.org/officeDocument/2006/relationships/hyperlink" Target="https://securly.atlassian.net/browse/FILTER-12249" TargetMode="External" Id="rId77" /><Relationship Type="http://schemas.openxmlformats.org/officeDocument/2006/relationships/hyperlink" Target="https://securly.atlassian.net/browse/FILTER-12267" TargetMode="External" Id="rId78" /><Relationship Type="http://schemas.openxmlformats.org/officeDocument/2006/relationships/hyperlink" Target="https://securly.atlassian.net/browse/FILTER-12274" TargetMode="External" Id="rId79" /><Relationship Type="http://schemas.openxmlformats.org/officeDocument/2006/relationships/hyperlink" Target="https://securly.atlassian.net/browse/FILTER-12280" TargetMode="External" Id="rId80" /><Relationship Type="http://schemas.openxmlformats.org/officeDocument/2006/relationships/hyperlink" Target="https://securly.atlassian.net/browse/FILTER-12288" TargetMode="External" Id="rId81" /><Relationship Type="http://schemas.openxmlformats.org/officeDocument/2006/relationships/hyperlink" Target="https://securly.atlassian.net/browse/FILTER-12368" TargetMode="External" Id="rId82" /><Relationship Type="http://schemas.openxmlformats.org/officeDocument/2006/relationships/hyperlink" Target="https://securly.atlassian.net/browse/FILTER-12483" TargetMode="External" Id="rId83" /><Relationship Type="http://schemas.openxmlformats.org/officeDocument/2006/relationships/hyperlink" Target="https://securly.atlassian.net/browse/FILTER-12597" TargetMode="External" Id="rId84" /><Relationship Type="http://schemas.openxmlformats.org/officeDocument/2006/relationships/hyperlink" Target="https://securly.atlassian.net/browse/FILTER-12604" TargetMode="External" Id="rId85" /><Relationship Type="http://schemas.openxmlformats.org/officeDocument/2006/relationships/hyperlink" Target="https://securly.atlassian.net/browse/FILTER-12608" TargetMode="External" Id="rId86" /><Relationship Type="http://schemas.openxmlformats.org/officeDocument/2006/relationships/hyperlink" Target="https://securly.atlassian.net/browse/FILTER-12431" TargetMode="External" Id="rId87" /><Relationship Type="http://schemas.openxmlformats.org/officeDocument/2006/relationships/hyperlink" Target="https://securly.atlassian.net/browse/FILTER-12432" TargetMode="External" Id="rId88" /><Relationship Type="http://schemas.openxmlformats.org/officeDocument/2006/relationships/hyperlink" Target="https://securly.atlassian.net/browse/FILTER-12433" TargetMode="External" Id="rId89" /><Relationship Type="http://schemas.openxmlformats.org/officeDocument/2006/relationships/hyperlink" Target="https://securly.atlassian.net/browse/FILTER-12435" TargetMode="External" Id="rId90" /><Relationship Type="http://schemas.openxmlformats.org/officeDocument/2006/relationships/hyperlink" Target="https://securly.atlassian.net/browse/FILTER-12436" TargetMode="External" Id="rId91" /><Relationship Type="http://schemas.openxmlformats.org/officeDocument/2006/relationships/hyperlink" Target="https://securly.atlassian.net/browse/FILTER-12437" TargetMode="External" Id="rId92" /><Relationship Type="http://schemas.openxmlformats.org/officeDocument/2006/relationships/hyperlink" Target="https://securly.atlassian.net/browse/FILTER-12101" TargetMode="External" Id="rId93" /><Relationship Type="http://schemas.openxmlformats.org/officeDocument/2006/relationships/hyperlink" Target="https://securly.atlassian.net/browse/FILTER-12294" TargetMode="External" Id="rId94" /><Relationship Type="http://schemas.openxmlformats.org/officeDocument/2006/relationships/hyperlink" Target="https://securly.atlassian.net/browse/FILTER-12306" TargetMode="External" Id="rId95" /><Relationship Type="http://schemas.openxmlformats.org/officeDocument/2006/relationships/hyperlink" Target="https://securly.atlassian.net/browse/FILTER-12308" TargetMode="External" Id="rId96" /><Relationship Type="http://schemas.openxmlformats.org/officeDocument/2006/relationships/hyperlink" Target="https://securly.atlassian.net/browse/FILTER-12310" TargetMode="External" Id="rId97" /><Relationship Type="http://schemas.openxmlformats.org/officeDocument/2006/relationships/hyperlink" Target="https://securly.atlassian.net/browse/FILTER-12312" TargetMode="External" Id="rId98" /><Relationship Type="http://schemas.openxmlformats.org/officeDocument/2006/relationships/hyperlink" Target="https://securly.atlassian.net/browse/FILTER-12367" TargetMode="External" Id="rId99" /><Relationship Type="http://schemas.openxmlformats.org/officeDocument/2006/relationships/hyperlink" Target="https://securly.atlassian.net/browse/FILTER-12682" TargetMode="External" Id="rId100" /><Relationship Type="http://schemas.openxmlformats.org/officeDocument/2006/relationships/hyperlink" Target="https://securly.atlassian.net/browse/FILTER-11659" TargetMode="External" Id="rId101" /><Relationship Type="http://schemas.openxmlformats.org/officeDocument/2006/relationships/hyperlink" Target="https://securly.atlassian.net/browse/FILTER-12195" TargetMode="External" Id="rId102" /><Relationship Type="http://schemas.openxmlformats.org/officeDocument/2006/relationships/hyperlink" Target="https://securly.atlassian.net/browse/FILTER-12301" TargetMode="External" Id="rId103" /><Relationship Type="http://schemas.openxmlformats.org/officeDocument/2006/relationships/hyperlink" Target="https://securly.atlassian.net/browse/FILTER-12678" TargetMode="External" Id="rId104" /><Relationship Type="http://schemas.openxmlformats.org/officeDocument/2006/relationships/hyperlink" Target="https://securly.atlassian.net/browse/FILTER-12679" TargetMode="External" Id="rId105" /><Relationship Type="http://schemas.openxmlformats.org/officeDocument/2006/relationships/hyperlink" Target="https://securly.atlassian.net/browse/FILTER-12797" TargetMode="External" Id="rId106" /><Relationship Type="http://schemas.openxmlformats.org/officeDocument/2006/relationships/hyperlink" Target="https://securly.atlassian.net/browse/FILTER-11896" TargetMode="External" Id="rId107" /><Relationship Type="http://schemas.openxmlformats.org/officeDocument/2006/relationships/hyperlink" Target="https://securly.atlassian.net/browse/FILTER-12074" TargetMode="External" Id="rId108" /><Relationship Type="http://schemas.openxmlformats.org/officeDocument/2006/relationships/hyperlink" Target="https://securly.atlassian.net/browse/FILTER-12165" TargetMode="External" Id="rId109" /><Relationship Type="http://schemas.openxmlformats.org/officeDocument/2006/relationships/hyperlink" Target="https://securly.atlassian.net/browse/FILTER-12456" TargetMode="External" Id="rId110" /><Relationship Type="http://schemas.openxmlformats.org/officeDocument/2006/relationships/hyperlink" Target="https://securly.atlassian.net/browse/FILTER-12335" TargetMode="External" Id="rId111" /><Relationship Type="http://schemas.openxmlformats.org/officeDocument/2006/relationships/hyperlink" Target="https://securly.atlassian.net/browse/FILTER-12337" TargetMode="External" Id="rId112" /><Relationship Type="http://schemas.openxmlformats.org/officeDocument/2006/relationships/hyperlink" Target="https://securly.atlassian.net/browse/FILTER-11548" TargetMode="External" Id="rId113" /><Relationship Type="http://schemas.openxmlformats.org/officeDocument/2006/relationships/hyperlink" Target="https://securly.atlassian.net/browse/FILTER-11977" TargetMode="External" Id="rId114" /><Relationship Type="http://schemas.openxmlformats.org/officeDocument/2006/relationships/hyperlink" Target="https://securly.atlassian.net/browse/FILTER-12349" TargetMode="External" Id="rId115" /><Relationship Type="http://schemas.openxmlformats.org/officeDocument/2006/relationships/hyperlink" Target="https://securly.atlassian.net/browse/FILTER-12352" TargetMode="External" Id="rId116" /><Relationship Type="http://schemas.openxmlformats.org/officeDocument/2006/relationships/hyperlink" Target="https://securly.atlassian.net/browse/FILTER-12594" TargetMode="External" Id="rId117" /><Relationship Type="http://schemas.openxmlformats.org/officeDocument/2006/relationships/hyperlink" Target="https://securly.atlassian.net/browse/FILTER-12596" TargetMode="External" Id="rId118" /><Relationship Type="http://schemas.openxmlformats.org/officeDocument/2006/relationships/hyperlink" Target="https://securly.atlassian.net/browse/FILTER-12603" TargetMode="External" Id="rId119" /><Relationship Type="http://schemas.openxmlformats.org/officeDocument/2006/relationships/hyperlink" Target="https://securly.atlassian.net/browse/FILTER-12607" TargetMode="External" Id="rId120" /><Relationship Type="http://schemas.openxmlformats.org/officeDocument/2006/relationships/hyperlink" Target="https://securly.atlassian.net/browse/FILTER-12698" TargetMode="External" Id="rId121" /><Relationship Type="http://schemas.openxmlformats.org/officeDocument/2006/relationships/hyperlink" Target="https://securly.atlassian.net/browse/PTGM-664" TargetMode="External" Id="rId122" /><Relationship Type="http://schemas.openxmlformats.org/officeDocument/2006/relationships/hyperlink" Target="https://securly.atlassian.net/browse/FILTER-11239" TargetMode="External" Id="rId123" /><Relationship Type="http://schemas.openxmlformats.org/officeDocument/2006/relationships/hyperlink" Target="https://securly.atlassian.net/browse/FILTER-11661" TargetMode="External" Id="rId124" /><Relationship Type="http://schemas.openxmlformats.org/officeDocument/2006/relationships/hyperlink" Target="https://securly.atlassian.net/browse/FILTER-11978" TargetMode="External" Id="rId125" /><Relationship Type="http://schemas.openxmlformats.org/officeDocument/2006/relationships/hyperlink" Target="https://securly.atlassian.net/browse/FILTER-12798" TargetMode="External" Id="rId126" /><Relationship Type="http://schemas.openxmlformats.org/officeDocument/2006/relationships/hyperlink" Target="https://securly.atlassian.net/browse/FILTER-13079" TargetMode="External" Id="rId127" /><Relationship Type="http://schemas.openxmlformats.org/officeDocument/2006/relationships/hyperlink" Target="https://securly.atlassian.net/browse/FILTER-12468" TargetMode="External" Id="rId128" /><Relationship Type="http://schemas.openxmlformats.org/officeDocument/2006/relationships/hyperlink" Target="https://securly.atlassian.net/browse/FILTER-12469" TargetMode="External" Id="rId129" /><Relationship Type="http://schemas.openxmlformats.org/officeDocument/2006/relationships/hyperlink" Target="https://securly.atlassian.net/browse/FILTER-12470" TargetMode="External" Id="rId130" /><Relationship Type="http://schemas.openxmlformats.org/officeDocument/2006/relationships/hyperlink" Target="https://securly.atlassian.net/browse/FILTER-12471" TargetMode="External" Id="rId131" /><Relationship Type="http://schemas.openxmlformats.org/officeDocument/2006/relationships/hyperlink" Target="https://securly.atlassian.net/browse/FILTER-12561" TargetMode="External" Id="rId132" /><Relationship Type="http://schemas.openxmlformats.org/officeDocument/2006/relationships/hyperlink" Target="https://securly.atlassian.net/browse/FILTER-12022" TargetMode="External" Id="rId133" /><Relationship Type="http://schemas.openxmlformats.org/officeDocument/2006/relationships/hyperlink" Target="https://securly.atlassian.net/browse/FILTER-12248" TargetMode="External" Id="rId134" /><Relationship Type="http://schemas.openxmlformats.org/officeDocument/2006/relationships/hyperlink" Target="https://securly.atlassian.net/browse/FILTER-12304" TargetMode="External" Id="rId135" /><Relationship Type="http://schemas.openxmlformats.org/officeDocument/2006/relationships/hyperlink" Target="https://securly.atlassian.net/browse/FILTER-12338" TargetMode="External" Id="rId136" /><Relationship Type="http://schemas.openxmlformats.org/officeDocument/2006/relationships/hyperlink" Target="https://securly.atlassian.net/browse/FILTER-12598" TargetMode="External" Id="rId137" /><Relationship Type="http://schemas.openxmlformats.org/officeDocument/2006/relationships/hyperlink" Target="https://securly.atlassian.net/browse/PTGM-652" TargetMode="External" Id="rId138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2473" TargetMode="External" Id="rId1" /><Relationship Type="http://schemas.openxmlformats.org/officeDocument/2006/relationships/hyperlink" Target="https://securly.atlassian.net/browse/FILTER-11844" TargetMode="External" Id="rId2" /><Relationship Type="http://schemas.openxmlformats.org/officeDocument/2006/relationships/hyperlink" Target="https://securly.atlassian.net/browse/FILTER-11483" TargetMode="External" Id="rId3" /><Relationship Type="http://schemas.openxmlformats.org/officeDocument/2006/relationships/hyperlink" Target="https://securly.atlassian.net/browse/FILTER-11485" TargetMode="External" Id="rId4" /><Relationship Type="http://schemas.openxmlformats.org/officeDocument/2006/relationships/hyperlink" Target="https://securly.atlassian.net/browse/FILTER-12423" TargetMode="External" Id="rId5" /><Relationship Type="http://schemas.openxmlformats.org/officeDocument/2006/relationships/hyperlink" Target="https://securly.atlassian.net/browse/FILTER-12429" TargetMode="External" Id="rId6" /><Relationship Type="http://schemas.openxmlformats.org/officeDocument/2006/relationships/hyperlink" Target="https://securly.atlassian.net/browse/FILTER-11843" TargetMode="External" Id="rId7" /><Relationship Type="http://schemas.openxmlformats.org/officeDocument/2006/relationships/hyperlink" Target="https://securly.atlassian.net/browse/FILTER-12420" TargetMode="External" Id="rId8" /><Relationship Type="http://schemas.openxmlformats.org/officeDocument/2006/relationships/hyperlink" Target="https://securly.atlassian.net/browse/FILTER-12428" TargetMode="External" Id="rId9" /><Relationship Type="http://schemas.openxmlformats.org/officeDocument/2006/relationships/hyperlink" Target="https://securly.atlassian.net/browse/FILTER-7955" TargetMode="External" Id="rId10" /><Relationship Type="http://schemas.openxmlformats.org/officeDocument/2006/relationships/hyperlink" Target="https://securly.atlassian.net/browse/PTGM-663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ILTER-12150" TargetMode="External" Id="rId1" /><Relationship Type="http://schemas.openxmlformats.org/officeDocument/2006/relationships/hyperlink" Target="https://securly.atlassian.net/browse/FILTER-12153" TargetMode="External" Id="rId2" /><Relationship Type="http://schemas.openxmlformats.org/officeDocument/2006/relationships/hyperlink" Target="https://securly.atlassian.net/browse/FILTER-9853" TargetMode="External" Id="rId3" /><Relationship Type="http://schemas.openxmlformats.org/officeDocument/2006/relationships/hyperlink" Target="https://securly.atlassian.net/browse/FILTER-12400" TargetMode="External" Id="rId4" /><Relationship Type="http://schemas.openxmlformats.org/officeDocument/2006/relationships/hyperlink" Target="https://securly.atlassian.net/browse/FILTER-12010" TargetMode="External" Id="rId5" /><Relationship Type="http://schemas.openxmlformats.org/officeDocument/2006/relationships/hyperlink" Target="https://securly.atlassian.net/browse/FILTER-12333" TargetMode="External" Id="rId6" /><Relationship Type="http://schemas.openxmlformats.org/officeDocument/2006/relationships/hyperlink" Target="https://securly.atlassian.net/browse/FILTER-10604" TargetMode="External" Id="rId7" /><Relationship Type="http://schemas.openxmlformats.org/officeDocument/2006/relationships/hyperlink" Target="https://securly.atlassian.net/browse/FILTER-11697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1610" TargetMode="External" Id="rId1" /><Relationship Type="http://schemas.openxmlformats.org/officeDocument/2006/relationships/hyperlink" Target="https://securly.atlassian.net/browse/FILTER-12476" TargetMode="External" Id="rId2" /><Relationship Type="http://schemas.openxmlformats.org/officeDocument/2006/relationships/hyperlink" Target="https://securly.atlassian.net/browse/FILTER-12010" TargetMode="External" Id="rId3" /><Relationship Type="http://schemas.openxmlformats.org/officeDocument/2006/relationships/hyperlink" Target="https://securly.atlassian.net/browse/FILTER-12093" TargetMode="External" Id="rId4" /><Relationship Type="http://schemas.openxmlformats.org/officeDocument/2006/relationships/hyperlink" Target="https://securly.atlassian.net/browse/FILTER-12247" TargetMode="External" Id="rId5" /><Relationship Type="http://schemas.openxmlformats.org/officeDocument/2006/relationships/hyperlink" Target="https://securly.atlassian.net/browse/FILTER-12644" TargetMode="External" Id="rId6" /><Relationship Type="http://schemas.openxmlformats.org/officeDocument/2006/relationships/hyperlink" Target="https://securly.atlassian.net/browse/FILTER-7666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sprint-Fay (Tue 17 Mar → Mon 30 Mar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t="inlineStr">
        <is>
          <t>Amol Mithari</t>
        </is>
      </c>
      <c r="B20" t="inlineStr">
        <is>
          <t>Auto QA Lead</t>
        </is>
      </c>
      <c r="C20" t="inlineStr">
        <is>
          <t>Team Lead — Auto QA / SDET</t>
        </is>
      </c>
      <c r="D20" s="4" t="n">
        <v>1</v>
      </c>
      <c r="E20" t="inlineStr">
        <is>
          <t>Lead</t>
        </is>
      </c>
      <c r="F20" t="inlineStr">
        <is>
          <t>FTE</t>
        </is>
      </c>
      <c r="G20" t="inlineStr"/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s="5" t="inlineStr">
        <is>
          <t>Rachit Mishra</t>
        </is>
      </c>
      <c r="B22" s="5" t="inlineStr">
        <is>
          <t>Auto QA</t>
        </is>
      </c>
      <c r="C22" s="5" t="inlineStr">
        <is>
          <t>SDET</t>
        </is>
      </c>
      <c r="D22" s="6" t="n">
        <v>0</v>
      </c>
      <c r="E22" s="5" t="inlineStr">
        <is>
          <t>Junior</t>
        </is>
      </c>
      <c r="F22" s="5" t="inlineStr">
        <is>
          <t>FTE</t>
        </is>
      </c>
      <c r="G22" s="5" t="inlineStr">
        <is>
          <t>Left team on 20-Feb-2026 — not part of this sprint</t>
        </is>
      </c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7" t="n">
        <v>10</v>
      </c>
      <c r="C27" t="inlineStr">
        <is>
          <t>FILTER 15-day sprint Tue → Mon. sprint-Fay = 2026-03-17 → 2026-03-30.</t>
        </is>
      </c>
    </row>
    <row r="28">
      <c r="A28" t="inlineStr">
        <is>
          <t>Company holidays in sprint</t>
        </is>
      </c>
      <c r="B28" s="7" t="n">
        <v>1</v>
      </c>
      <c r="C28" t="inlineStr">
        <is>
          <t>India calendar 2026 — 19-Mar: Gudi Padwa</t>
        </is>
      </c>
    </row>
    <row r="29">
      <c r="A29" t="inlineStr">
        <is>
          <t>Effective working days (sprint − company holidays)</t>
        </is>
      </c>
      <c r="B29" s="8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9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9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10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11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7" t="n">
        <v>17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11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FILTER: 240 · PTGM: 5</t>
        </is>
      </c>
    </row>
    <row r="38">
      <c r="A38" s="2" t="inlineStr">
        <is>
          <t>Capacity vs Actual Delivery — sprint-Fay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11">
        <f>'Per-person Delivery'!F19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11">
        <f>'Per-person Delivery'!H19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11">
        <f>'Per-person Delivery'!I19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11">
        <f>'Per-person Delivery'!B19</f>
        <v/>
      </c>
      <c r="C43" s="12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11">
        <f>'Per-person Delivery'!C19</f>
        <v/>
      </c>
      <c r="C44" s="12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11">
        <f>'Per-person Delivery'!D19</f>
        <v/>
      </c>
      <c r="C45" s="12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3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P0</t>
        </is>
      </c>
      <c r="B50" s="8" t="n">
        <v>1</v>
      </c>
      <c r="C50" s="8" t="n">
        <v>4</v>
      </c>
      <c r="D50" s="11" t="n">
        <v>24</v>
      </c>
      <c r="E50" s="12">
        <f>IFERROR(D50/955.0,"")</f>
        <v/>
      </c>
      <c r="F50" s="12">
        <f>IFERROR(B50/57,"")</f>
        <v/>
      </c>
      <c r="G50" t="inlineStr">
        <is>
          <t>Critical / production halting</t>
        </is>
      </c>
    </row>
    <row r="51">
      <c r="A51" t="inlineStr">
        <is>
          <t>P1</t>
        </is>
      </c>
      <c r="B51" s="8" t="n">
        <v>8</v>
      </c>
      <c r="C51" s="8" t="n">
        <v>20</v>
      </c>
      <c r="D51" s="11" t="n">
        <v>53</v>
      </c>
      <c r="E51" s="12">
        <f>IFERROR(D51/955.0,"")</f>
        <v/>
      </c>
      <c r="F51" s="12">
        <f>IFERROR(B51/57,"")</f>
        <v/>
      </c>
      <c r="G51" s="14" t="inlineStr">
        <is>
          <t>P1 — high priority (see P1 Escalation tab for escalations)</t>
        </is>
      </c>
    </row>
    <row r="52">
      <c r="A52" t="inlineStr">
        <is>
          <t>P2</t>
        </is>
      </c>
      <c r="B52" s="8" t="n">
        <v>13</v>
      </c>
      <c r="C52" s="8" t="n">
        <v>31</v>
      </c>
      <c r="D52" s="11" t="n">
        <v>245.5</v>
      </c>
      <c r="E52" s="12">
        <f>IFERROR(D52/955.0,"")</f>
        <v/>
      </c>
      <c r="F52" s="12">
        <f>IFERROR(B52/57,"")</f>
        <v/>
      </c>
      <c r="G52" t="inlineStr">
        <is>
          <t>Major</t>
        </is>
      </c>
    </row>
    <row r="53">
      <c r="A53" t="inlineStr">
        <is>
          <t>P3</t>
        </is>
      </c>
      <c r="B53" s="8" t="n">
        <v>35</v>
      </c>
      <c r="C53" s="8" t="n">
        <v>83</v>
      </c>
      <c r="D53" s="11" t="n">
        <v>632.5</v>
      </c>
      <c r="E53" s="12">
        <f>IFERROR(D53/955.0,"")</f>
        <v/>
      </c>
      <c r="F53" s="12">
        <f>IFERROR(B53/57,"")</f>
        <v/>
      </c>
      <c r="G53" t="inlineStr">
        <is>
          <t>Standard</t>
        </is>
      </c>
    </row>
    <row r="54">
      <c r="A54" s="2" t="inlineStr">
        <is>
          <t>TOTAL</t>
        </is>
      </c>
      <c r="B54" s="8" t="n">
        <v>57</v>
      </c>
      <c r="C54" s="8" t="n">
        <v>138</v>
      </c>
      <c r="D54" s="11" t="n">
        <v>955</v>
      </c>
      <c r="E54" s="12" t="n">
        <v>1</v>
      </c>
      <c r="F54" s="12" t="n">
        <v>1</v>
      </c>
      <c r="G54" t="inlineStr">
        <is>
          <t>Sum of Completed bucket (core roster)</t>
        </is>
      </c>
    </row>
    <row r="56">
      <c r="A56" s="2" t="inlineStr">
        <is>
          <t>Sprint Completion (spillover = Not Completed)</t>
        </is>
      </c>
    </row>
    <row r="57">
      <c r="A57" s="3" t="inlineStr">
        <is>
          <t>Metric</t>
        </is>
      </c>
      <c r="B57" s="3" t="inlineStr">
        <is>
          <t>Tickets</t>
        </is>
      </c>
      <c r="C57" s="3" t="inlineStr">
        <is>
          <t>Planned Hrs (OE)</t>
        </is>
      </c>
      <c r="D57" s="3" t="inlineStr">
        <is>
          <t>% by Tickets</t>
        </is>
      </c>
      <c r="E57" s="3" t="inlineStr">
        <is>
          <t>% by Hrs</t>
        </is>
      </c>
      <c r="F57" s="3" t="inlineStr">
        <is>
          <t>Notes</t>
        </is>
      </c>
    </row>
    <row r="58">
      <c r="A58" t="inlineStr">
        <is>
          <t>Completed (closed in sprint)</t>
        </is>
      </c>
      <c r="B58" s="8" t="n">
        <v>138</v>
      </c>
      <c r="C58" s="11" t="n">
        <v>858.5</v>
      </c>
      <c r="D58" s="12">
        <f>IFERROR(138/149,"")</f>
        <v/>
      </c>
      <c r="E58" s="12">
        <f>IFERROR(858.5/888.5,"")</f>
        <v/>
      </c>
      <c r="F58" t="inlineStr">
        <is>
          <t>In-sprint deliverables</t>
        </is>
      </c>
    </row>
    <row r="59">
      <c r="A59" t="inlineStr">
        <is>
          <t>Spillover (not completed → carry-over)</t>
        </is>
      </c>
      <c r="B59" s="8" t="n">
        <v>11</v>
      </c>
      <c r="C59" s="11" t="n">
        <v>30</v>
      </c>
      <c r="D59" s="12">
        <f>IFERROR(11/149,"")</f>
        <v/>
      </c>
      <c r="E59" s="12">
        <f>IFERROR(30.0/888.5,"")</f>
        <v/>
      </c>
      <c r="F59" t="inlineStr">
        <is>
          <t>Original estimate carried to next sprint</t>
        </is>
      </c>
    </row>
    <row r="60">
      <c r="A60" t="inlineStr">
        <is>
          <t>Removed (mid-sprint scope cut)</t>
        </is>
      </c>
      <c r="B60" s="8" t="n">
        <v>8</v>
      </c>
      <c r="C60" s="11" t="n">
        <v>38</v>
      </c>
      <c r="D60" t="inlineStr">
        <is>
          <t>—</t>
        </is>
      </c>
      <c r="E60" t="inlineStr">
        <is>
          <t>—</t>
        </is>
      </c>
      <c r="F60" t="inlineStr">
        <is>
          <t>Excluded from completion ratio (out of scope)</t>
        </is>
      </c>
    </row>
    <row r="61">
      <c r="A61" t="inlineStr">
        <is>
          <t>Mid-sprint additions (core)</t>
        </is>
      </c>
      <c r="B61" s="8" t="n">
        <v>27</v>
      </c>
      <c r="D61" t="inlineStr">
        <is>
          <t>—</t>
        </is>
      </c>
      <c r="E61" t="inlineStr">
        <is>
          <t>—</t>
        </is>
      </c>
      <c r="F61" t="inlineStr">
        <is>
          <t>Late-arriving work (Jira issueKeysAddedDuringSprint)</t>
        </is>
      </c>
    </row>
    <row r="63">
      <c r="A63" s="2" t="inlineStr">
        <is>
          <t>Sprint completion rate (tickets)</t>
        </is>
      </c>
      <c r="B63" s="12" t="n">
        <v>0.9261744966442953</v>
      </c>
      <c r="C63" s="15" t="inlineStr">
        <is>
          <t>On Target</t>
        </is>
      </c>
      <c r="D63" s="16" t="inlineStr">
        <is>
          <t>Completed ÷ (Completed + Spillover)</t>
        </is>
      </c>
    </row>
    <row r="64">
      <c r="A64" s="2" t="inlineStr">
        <is>
          <t>Sprint completion rate (planned hrs)</t>
        </is>
      </c>
      <c r="B64" s="12" t="n">
        <v>0.9662352279122116</v>
      </c>
      <c r="C64" s="15" t="inlineStr">
        <is>
          <t>On Target</t>
        </is>
      </c>
      <c r="D64" s="16" t="inlineStr">
        <is>
          <t>Σ OE Completed ÷ Σ OE (Completed + Spillover)</t>
        </is>
      </c>
    </row>
    <row r="65">
      <c r="A65" s="2" t="inlineStr">
        <is>
          <t>Planned completion rate (tickets, excludes mid-sprint adds)</t>
        </is>
      </c>
      <c r="B65" s="12" t="n">
        <v>0.921875</v>
      </c>
      <c r="C65" s="15" t="inlineStr">
        <is>
          <t>On Target</t>
        </is>
      </c>
      <c r="D65" s="16" t="inlineStr">
        <is>
          <t>Originally-committed tickets only</t>
        </is>
      </c>
    </row>
    <row r="66">
      <c r="A66" s="2" t="inlineStr">
        <is>
          <t>Planned completion rate (planned hrs, excludes mid-sprint adds)</t>
        </is>
      </c>
      <c r="B66" s="12" t="n">
        <v>0.964221824686941</v>
      </c>
      <c r="C66" s="15" t="inlineStr">
        <is>
          <t>On Target</t>
        </is>
      </c>
      <c r="D66" s="16" t="inlineStr">
        <is>
          <t>Originally-committed planned hours only</t>
        </is>
      </c>
    </row>
    <row r="68">
      <c r="A68" s="17" t="inlineStr">
        <is>
          <t>P1 Escalation snapshot</t>
        </is>
      </c>
    </row>
    <row r="69">
      <c r="A69" s="14" t="inlineStr">
        <is>
          <t>7 ticket(s) in sprint-Fay match 'P1 Escalation' in the title — 5 closed, 2 still open. See the 'P1 Escalation' tab.</t>
        </is>
      </c>
    </row>
    <row r="71">
      <c r="A71" s="18" t="inlineStr">
        <is>
          <t>Mid-sprint additions snapshot</t>
        </is>
      </c>
    </row>
    <row r="72" ht="36" customHeight="1">
      <c r="A72" s="19" t="inlineStr">
        <is>
          <t>27 ticket(s) were added to sprint-Fay after it started (issueKeysAddedDuringSprint) — Completed 20, Spillover 1, Removed 6. Highlighted in amber on every detail sheet (Added Mid-Sprint = YES).</t>
        </is>
      </c>
    </row>
    <row r="74">
      <c r="A74" s="2" t="inlineStr">
        <is>
          <t>Assumptions &amp; caveats</t>
        </is>
      </c>
    </row>
    <row r="75" ht="32" customHeight="1">
      <c r="A75" s="20" t="inlineStr">
        <is>
          <t>• Sprint window from Jira (/rest/agile/1.0/sprint/5500): 2026-03-17 → 2026-03-30 (10 Mon–Fri working days). Refresh with fetch_filter_sprint_meta.py + fetch_filter_sprint_issues.py.</t>
        </is>
      </c>
    </row>
    <row r="76" ht="32" customHeight="1">
      <c r="A76" s="20" t="inlineStr">
        <is>
          <t>• Issues pulled from FILTER + PTGM + FDSE (project-scope expanded for the India scrum team's split across the three products).</t>
        </is>
      </c>
    </row>
    <row r="77" ht="32" customHeight="1">
      <c r="A77" s="20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8" ht="32" customHeight="1">
      <c r="A78" s="20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79" ht="32" customHeight="1">
      <c r="A79" s="20" t="inlineStr">
        <is>
          <t>• Net Available = Available − 20% Misc Buffer for meetings, scrums, code review, etc. Completed/Not Completed/Removed % of capacity use Net Available as the denominator.</t>
        </is>
      </c>
    </row>
    <row r="80" ht="32" customHeight="1">
      <c r="A80" s="20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1" ht="32" customHeight="1">
      <c r="A81" s="20" t="inlineStr">
        <is>
          <t>• Not Completed and Removed totals use Original Estimate.</t>
        </is>
      </c>
    </row>
    <row r="82" ht="32" customHeight="1">
      <c r="A82" s="20" t="inlineStr">
        <is>
          <t>• Removed list comes from the Sprint Report puntedIssues (greenhopper API).</t>
        </is>
      </c>
    </row>
    <row r="83" ht="32" customHeight="1">
      <c r="A83" s="20" t="inlineStr">
        <is>
          <t>• Core roster only: assignees outside Securly-PjM-Skills.md Part 2 are dropped from per-person + detail sheets.</t>
        </is>
      </c>
    </row>
    <row r="84" ht="32" customHeight="1">
      <c r="A84" s="20" t="inlineStr">
        <is>
          <t>• P1 Escalation tab is filtered to Issue Type = Escape Defect AND Priority = P1 AND title contains 'P1 Escalation'.</t>
        </is>
      </c>
    </row>
    <row r="85" ht="32" customHeight="1">
      <c r="A85" s="20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6" ht="32" customHeight="1">
      <c r="A86" s="20" t="inlineStr">
        <is>
          <t>• Spillover = Not Completed bucket (tickets carried into the next sprint).</t>
        </is>
      </c>
    </row>
    <row r="87" ht="32" customHeight="1">
      <c r="A87" s="20" t="inlineStr">
        <is>
          <t>• Sprint completion rate uses Completed ÷ (Completed + Spillover); Removed tickets are excluded (treated as scope cut). 'Planned' rate also excludes mid-sprint additions.</t>
        </is>
      </c>
    </row>
    <row r="88" ht="32" customHeight="1">
      <c r="A88" s="20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89" ht="32" customHeight="1">
      <c r="A89" s="20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72:G72"/>
    <mergeCell ref="A81:G81"/>
    <mergeCell ref="A68:G68"/>
    <mergeCell ref="A77:G77"/>
    <mergeCell ref="A83:G83"/>
    <mergeCell ref="A48:G48"/>
    <mergeCell ref="D63:G63"/>
    <mergeCell ref="A82:G82"/>
    <mergeCell ref="A1:G1"/>
    <mergeCell ref="D65:G65"/>
    <mergeCell ref="A88:G88"/>
    <mergeCell ref="A79:G79"/>
    <mergeCell ref="A69:G69"/>
    <mergeCell ref="A87:G87"/>
    <mergeCell ref="A78:G78"/>
    <mergeCell ref="A25:G25"/>
    <mergeCell ref="A75:G75"/>
    <mergeCell ref="A84:G84"/>
    <mergeCell ref="A85:G85"/>
    <mergeCell ref="A89:G89"/>
    <mergeCell ref="A80:G80"/>
    <mergeCell ref="A56:G56"/>
    <mergeCell ref="D66:G66"/>
    <mergeCell ref="A2:G2"/>
    <mergeCell ref="A86:G86"/>
    <mergeCell ref="A76:G76"/>
    <mergeCell ref="A71:G7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21" t="inlineStr">
        <is>
          <t>Assignee</t>
        </is>
      </c>
      <c r="B1" s="21" t="inlineStr">
        <is>
          <t>Completed (hrs)</t>
        </is>
      </c>
      <c r="C1" s="21" t="inlineStr">
        <is>
          <t>Not Completed (hrs)</t>
        </is>
      </c>
      <c r="D1" s="21" t="inlineStr">
        <is>
          <t>Removed (hrs)</t>
        </is>
      </c>
      <c r="E1" s="21" t="inlineStr">
        <is>
          <t>Efficiency</t>
        </is>
      </c>
      <c r="F1" s="21" t="inlineStr">
        <is>
          <t>Available (hrs)</t>
        </is>
      </c>
      <c r="G1" s="21" t="inlineStr">
        <is>
          <t>Leave Days (sprint)</t>
        </is>
      </c>
      <c r="H1" s="21" t="inlineStr">
        <is>
          <t>Misc Buffer 20% (hrs)</t>
        </is>
      </c>
      <c r="I1" s="21" t="inlineStr">
        <is>
          <t>Net Available (hrs)</t>
        </is>
      </c>
    </row>
    <row r="2">
      <c r="A2" t="inlineStr">
        <is>
          <t>Harsh Verma</t>
        </is>
      </c>
      <c r="B2" s="11" t="n">
        <v>48</v>
      </c>
      <c r="C2" s="11" t="n">
        <v>0</v>
      </c>
      <c r="D2" s="11" t="n">
        <v>32</v>
      </c>
      <c r="E2" s="12">
        <f>IFERROR(B2/I2,"")</f>
        <v/>
      </c>
      <c r="F2" s="11" t="n">
        <v>64.8</v>
      </c>
      <c r="G2" s="8" t="n">
        <v>0</v>
      </c>
      <c r="H2" s="11">
        <f>F2*0.2</f>
        <v/>
      </c>
      <c r="I2" s="11">
        <f>F2-H2</f>
        <v/>
      </c>
    </row>
    <row r="3">
      <c r="A3" t="inlineStr">
        <is>
          <t>Arun Thakur</t>
        </is>
      </c>
      <c r="B3" s="11" t="n">
        <v>28</v>
      </c>
      <c r="C3" s="11" t="n">
        <v>6</v>
      </c>
      <c r="D3" s="11" t="n">
        <v>6</v>
      </c>
      <c r="E3" s="12">
        <f>IFERROR(B3/I3,"")</f>
        <v/>
      </c>
      <c r="F3" s="11" t="n">
        <v>64.8</v>
      </c>
      <c r="G3" s="8" t="n">
        <v>0</v>
      </c>
      <c r="H3" s="11">
        <f>F3*0.2</f>
        <v/>
      </c>
      <c r="I3" s="11">
        <f>F3-H3</f>
        <v/>
      </c>
    </row>
    <row r="4">
      <c r="A4" t="inlineStr">
        <is>
          <t>Harshada Kude</t>
        </is>
      </c>
      <c r="B4" s="11" t="n">
        <v>126.5</v>
      </c>
      <c r="C4" s="11" t="n">
        <v>0</v>
      </c>
      <c r="D4" s="11" t="n">
        <v>0</v>
      </c>
      <c r="E4" s="12">
        <f>IFERROR(B4/I4,"")</f>
        <v/>
      </c>
      <c r="F4" s="11" t="n">
        <v>64.8</v>
      </c>
      <c r="G4" s="8" t="n">
        <v>0</v>
      </c>
      <c r="H4" s="11">
        <f>F4*0.2</f>
        <v/>
      </c>
      <c r="I4" s="11">
        <f>F4-H4</f>
        <v/>
      </c>
    </row>
    <row r="5">
      <c r="A5" t="inlineStr">
        <is>
          <t>Shailendra Singh</t>
        </is>
      </c>
      <c r="B5" s="11" t="n">
        <v>0</v>
      </c>
      <c r="C5" s="11" t="n">
        <v>0</v>
      </c>
      <c r="D5" s="11" t="n">
        <v>0</v>
      </c>
      <c r="E5" s="12">
        <f>IFERROR(B5/I5,"")</f>
        <v/>
      </c>
      <c r="F5" s="11" t="n">
        <v>57.6</v>
      </c>
      <c r="G5" s="8" t="n">
        <v>1</v>
      </c>
      <c r="H5" s="11">
        <f>F5*0.2</f>
        <v/>
      </c>
      <c r="I5" s="11">
        <f>F5-H5</f>
        <v/>
      </c>
    </row>
    <row r="6">
      <c r="A6" t="inlineStr">
        <is>
          <t>Swaroop Chavhan</t>
        </is>
      </c>
      <c r="B6" s="11" t="n">
        <v>144</v>
      </c>
      <c r="C6" s="11" t="n">
        <v>0</v>
      </c>
      <c r="D6" s="11" t="n">
        <v>0</v>
      </c>
      <c r="E6" s="12">
        <f>IFERROR(B6/I6,"")</f>
        <v/>
      </c>
      <c r="F6" s="11" t="n">
        <v>64.8</v>
      </c>
      <c r="G6" s="8" t="n">
        <v>0</v>
      </c>
      <c r="H6" s="11">
        <f>F6*0.2</f>
        <v/>
      </c>
      <c r="I6" s="11">
        <f>F6-H6</f>
        <v/>
      </c>
    </row>
    <row r="7">
      <c r="A7" t="inlineStr">
        <is>
          <t>Ashish Modak</t>
        </is>
      </c>
      <c r="B7" s="11" t="n">
        <v>8</v>
      </c>
      <c r="C7" s="11" t="n">
        <v>0</v>
      </c>
      <c r="D7" s="11" t="n">
        <v>0</v>
      </c>
      <c r="E7" s="12">
        <f>IFERROR(B7/I7,"")</f>
        <v/>
      </c>
      <c r="F7" s="11" t="n">
        <v>57.6</v>
      </c>
      <c r="G7" s="8" t="n">
        <v>1</v>
      </c>
      <c r="H7" s="11">
        <f>F7*0.2</f>
        <v/>
      </c>
      <c r="I7" s="11">
        <f>F7-H7</f>
        <v/>
      </c>
    </row>
    <row r="8">
      <c r="A8" t="inlineStr">
        <is>
          <t>Prateek Fotedar</t>
        </is>
      </c>
      <c r="B8" s="11" t="n">
        <v>23.5</v>
      </c>
      <c r="C8" s="11" t="n">
        <v>12</v>
      </c>
      <c r="D8" s="11" t="n">
        <v>0</v>
      </c>
      <c r="E8" s="12">
        <f>IFERROR(B8/I8,"")</f>
        <v/>
      </c>
      <c r="F8" s="11" t="n">
        <v>64.8</v>
      </c>
      <c r="G8" s="8" t="n">
        <v>0</v>
      </c>
      <c r="H8" s="11">
        <f>F8*0.2</f>
        <v/>
      </c>
      <c r="I8" s="11">
        <f>F8-H8</f>
        <v/>
      </c>
    </row>
    <row r="9">
      <c r="A9" t="inlineStr">
        <is>
          <t>Sagar Satpute</t>
        </is>
      </c>
      <c r="B9" s="11" t="n">
        <v>70</v>
      </c>
      <c r="C9" s="11" t="n">
        <v>0</v>
      </c>
      <c r="D9" s="11" t="n">
        <v>0</v>
      </c>
      <c r="E9" s="12">
        <f>IFERROR(B9/I9,"")</f>
        <v/>
      </c>
      <c r="F9" s="11" t="n">
        <v>64.8</v>
      </c>
      <c r="G9" s="8" t="n">
        <v>0</v>
      </c>
      <c r="H9" s="11">
        <f>F9*0.2</f>
        <v/>
      </c>
      <c r="I9" s="11">
        <f>F9-H9</f>
        <v/>
      </c>
    </row>
    <row r="10">
      <c r="A10" t="inlineStr">
        <is>
          <t>Vaibhav Kumbhar</t>
        </is>
      </c>
      <c r="B10" s="11" t="n">
        <v>81</v>
      </c>
      <c r="C10" s="11" t="n">
        <v>0</v>
      </c>
      <c r="D10" s="11" t="n">
        <v>0</v>
      </c>
      <c r="E10" s="12">
        <f>IFERROR(B10/I10,"")</f>
        <v/>
      </c>
      <c r="F10" s="11" t="n">
        <v>64.8</v>
      </c>
      <c r="G10" s="8" t="n">
        <v>0</v>
      </c>
      <c r="H10" s="11">
        <f>F10*0.2</f>
        <v/>
      </c>
      <c r="I10" s="11">
        <f>F10-H10</f>
        <v/>
      </c>
    </row>
    <row r="11">
      <c r="A11" t="inlineStr">
        <is>
          <t>Ashish Temurnikar</t>
        </is>
      </c>
      <c r="B11" s="11" t="n">
        <v>10</v>
      </c>
      <c r="C11" s="11" t="n">
        <v>0</v>
      </c>
      <c r="D11" s="11" t="n">
        <v>0</v>
      </c>
      <c r="E11" s="12">
        <f>IFERROR(B11/I11,"")</f>
        <v/>
      </c>
      <c r="F11" s="11" t="n">
        <v>57.6</v>
      </c>
      <c r="G11" s="8" t="n">
        <v>1</v>
      </c>
      <c r="H11" s="11">
        <f>F11*0.2</f>
        <v/>
      </c>
      <c r="I11" s="11">
        <f>F11-H11</f>
        <v/>
      </c>
    </row>
    <row r="12">
      <c r="A12" t="inlineStr">
        <is>
          <t>Ravi Raj</t>
        </is>
      </c>
      <c r="B12" s="11" t="n">
        <v>88</v>
      </c>
      <c r="C12" s="11" t="n">
        <v>0</v>
      </c>
      <c r="D12" s="11" t="n">
        <v>0</v>
      </c>
      <c r="E12" s="12">
        <f>IFERROR(B12/I12,"")</f>
        <v/>
      </c>
      <c r="F12" s="11" t="n">
        <v>43.2</v>
      </c>
      <c r="G12" s="8" t="n">
        <v>3</v>
      </c>
      <c r="H12" s="11">
        <f>F12*0.2</f>
        <v/>
      </c>
      <c r="I12" s="11">
        <f>F12-H12</f>
        <v/>
      </c>
    </row>
    <row r="13">
      <c r="A13" t="inlineStr">
        <is>
          <t>Pratik Tiwari</t>
        </is>
      </c>
      <c r="B13" s="11" t="n">
        <v>66</v>
      </c>
      <c r="C13" s="11" t="n">
        <v>4</v>
      </c>
      <c r="D13" s="11" t="n">
        <v>0</v>
      </c>
      <c r="E13" s="12">
        <f>IFERROR(B13/I13,"")</f>
        <v/>
      </c>
      <c r="F13" s="11" t="n">
        <v>64.8</v>
      </c>
      <c r="G13" s="8" t="n">
        <v>0</v>
      </c>
      <c r="H13" s="11">
        <f>F13*0.2</f>
        <v/>
      </c>
      <c r="I13" s="11">
        <f>F13-H13</f>
        <v/>
      </c>
    </row>
    <row r="14">
      <c r="A14" t="inlineStr">
        <is>
          <t>Altamash Heroli</t>
        </is>
      </c>
      <c r="B14" s="11" t="n">
        <v>132</v>
      </c>
      <c r="C14" s="11" t="n">
        <v>0</v>
      </c>
      <c r="D14" s="11" t="n">
        <v>0</v>
      </c>
      <c r="E14" s="12">
        <f>IFERROR(B14/I14,"")</f>
        <v/>
      </c>
      <c r="F14" s="11" t="n">
        <v>57.6</v>
      </c>
      <c r="G14" s="8" t="n">
        <v>1</v>
      </c>
      <c r="H14" s="11">
        <f>F14*0.2</f>
        <v/>
      </c>
      <c r="I14" s="11">
        <f>F14-H14</f>
        <v/>
      </c>
    </row>
    <row r="15">
      <c r="A15" t="inlineStr">
        <is>
          <t>Surabhi Choudhary</t>
        </is>
      </c>
      <c r="B15" s="11" t="n">
        <v>53.5</v>
      </c>
      <c r="C15" s="11" t="n">
        <v>0</v>
      </c>
      <c r="D15" s="11" t="n">
        <v>0</v>
      </c>
      <c r="E15" s="12">
        <f>IFERROR(B15/I15,"")</f>
        <v/>
      </c>
      <c r="F15" s="11" t="n">
        <v>36</v>
      </c>
      <c r="G15" s="8" t="n">
        <v>4</v>
      </c>
      <c r="H15" s="11">
        <f>F15*0.2</f>
        <v/>
      </c>
      <c r="I15" s="11">
        <f>F15-H15</f>
        <v/>
      </c>
    </row>
    <row r="16">
      <c r="A16" t="inlineStr">
        <is>
          <t>Ayesha Kamde</t>
        </is>
      </c>
      <c r="B16" s="11" t="n">
        <v>55.5</v>
      </c>
      <c r="C16" s="11" t="n">
        <v>6</v>
      </c>
      <c r="D16" s="11" t="n">
        <v>0</v>
      </c>
      <c r="E16" s="12">
        <f>IFERROR(B16/I16,"")</f>
        <v/>
      </c>
      <c r="F16" s="11" t="n">
        <v>50.4</v>
      </c>
      <c r="G16" s="8" t="n">
        <v>2</v>
      </c>
      <c r="H16" s="11">
        <f>F16*0.2</f>
        <v/>
      </c>
      <c r="I16" s="11">
        <f>F16-H16</f>
        <v/>
      </c>
    </row>
    <row r="17">
      <c r="A17" t="inlineStr">
        <is>
          <t>Amol Mithari</t>
        </is>
      </c>
      <c r="B17" s="11" t="n">
        <v>4</v>
      </c>
      <c r="C17" s="11" t="n">
        <v>0</v>
      </c>
      <c r="D17" s="11" t="n">
        <v>0</v>
      </c>
      <c r="E17" s="12">
        <f>IFERROR(B17/I17,"")</f>
        <v/>
      </c>
      <c r="F17" s="11" t="n">
        <v>64.8</v>
      </c>
      <c r="G17" s="8" t="n">
        <v>0</v>
      </c>
      <c r="H17" s="11">
        <f>F17*0.2</f>
        <v/>
      </c>
      <c r="I17" s="11">
        <f>F17-H17</f>
        <v/>
      </c>
    </row>
    <row r="18">
      <c r="A18" t="inlineStr">
        <is>
          <t>Amit Shete</t>
        </is>
      </c>
      <c r="B18" s="11" t="n">
        <v>17</v>
      </c>
      <c r="C18" s="11" t="n">
        <v>2</v>
      </c>
      <c r="D18" s="11" t="n">
        <v>0</v>
      </c>
      <c r="E18" s="12">
        <f>IFERROR(B18/I18,"")</f>
        <v/>
      </c>
      <c r="F18" s="11" t="n">
        <v>64.8</v>
      </c>
      <c r="G18" s="8" t="n">
        <v>0</v>
      </c>
      <c r="H18" s="11">
        <f>F18*0.2</f>
        <v/>
      </c>
      <c r="I18" s="11">
        <f>F18-H18</f>
        <v/>
      </c>
    </row>
    <row r="19">
      <c r="A19" s="2" t="inlineStr">
        <is>
          <t>TOTAL</t>
        </is>
      </c>
      <c r="B19" s="11">
        <f>SUM(B2:B18)</f>
        <v/>
      </c>
      <c r="C19" s="11">
        <f>SUM(C2:C18)</f>
        <v/>
      </c>
      <c r="D19" s="11">
        <f>SUM(D2:D18)</f>
        <v/>
      </c>
      <c r="E19" s="12">
        <f>IFERROR(B19/I19,"")</f>
        <v/>
      </c>
      <c r="F19" s="11">
        <f>SUM(F2:F18)</f>
        <v/>
      </c>
      <c r="G19" s="8">
        <f>SUM(G2:G18)</f>
        <v/>
      </c>
      <c r="H19" s="11">
        <f>SUM(H2:H18)</f>
        <v/>
      </c>
      <c r="I19" s="11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Task</t>
        </is>
      </c>
      <c r="B2" s="23" t="inlineStr">
        <is>
          <t>FILTER-12693</t>
        </is>
      </c>
      <c r="C2" s="24" t="inlineStr">
        <is>
          <t>Removed NSFW image blur feature code and related files from the securly-extensions repository</t>
        </is>
      </c>
      <c r="D2" s="22" t="inlineStr"/>
      <c r="E2" s="22" t="inlineStr"/>
      <c r="F2" s="22" t="inlineStr">
        <is>
          <t>Arun Thakur</t>
        </is>
      </c>
      <c r="G2" s="22" t="inlineStr">
        <is>
          <t>Closed</t>
        </is>
      </c>
      <c r="H2" s="22" t="inlineStr"/>
      <c r="I2" s="22" t="inlineStr">
        <is>
          <t>P3</t>
        </is>
      </c>
      <c r="J2" s="25" t="n">
        <v>46107</v>
      </c>
      <c r="K2" s="22" t="n"/>
      <c r="L2" s="25" t="n">
        <v>46133</v>
      </c>
      <c r="M2" s="22" t="inlineStr">
        <is>
          <t>sprint-Fay</t>
        </is>
      </c>
      <c r="N2" s="26" t="n">
        <v>1</v>
      </c>
      <c r="O2" s="26" t="n">
        <v>0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s="22" t="inlineStr">
        <is>
          <t>Debug</t>
        </is>
      </c>
      <c r="B3" s="23" t="inlineStr">
        <is>
          <t>FILTER-12543</t>
        </is>
      </c>
      <c r="C3" s="24" t="inlineStr">
        <is>
          <t>Need to setup Cursor Skills and Rules as per our code architecture in FDSE project</t>
        </is>
      </c>
      <c r="D3" s="22" t="inlineStr"/>
      <c r="E3" s="22" t="inlineStr"/>
      <c r="F3" s="22" t="inlineStr">
        <is>
          <t>Harsh Verma</t>
        </is>
      </c>
      <c r="G3" s="22" t="inlineStr">
        <is>
          <t>Resolved</t>
        </is>
      </c>
      <c r="H3" s="22" t="inlineStr"/>
      <c r="I3" s="22" t="inlineStr">
        <is>
          <t>P3</t>
        </is>
      </c>
      <c r="J3" s="25" t="n">
        <v>46098</v>
      </c>
      <c r="K3" s="22" t="n"/>
      <c r="L3" s="25" t="n">
        <v>46112</v>
      </c>
      <c r="M3" s="22" t="inlineStr">
        <is>
          <t>sprint-Fay</t>
        </is>
      </c>
      <c r="N3" s="26" t="n">
        <v>20</v>
      </c>
      <c r="O3" s="26" t="n">
        <v>20</v>
      </c>
      <c r="P3" s="22" t="inlineStr">
        <is>
          <t>FILTER</t>
        </is>
      </c>
      <c r="Q3" s="22" t="inlineStr">
        <is>
          <t>unplanned-sprint</t>
        </is>
      </c>
      <c r="R3" s="22" t="inlineStr"/>
      <c r="S3" s="27" t="inlineStr">
        <is>
          <t>YES</t>
        </is>
      </c>
    </row>
    <row r="4">
      <c r="A4" s="22" t="inlineStr">
        <is>
          <t>Story</t>
        </is>
      </c>
      <c r="B4" s="23" t="inlineStr">
        <is>
          <t>FILTER-12293</t>
        </is>
      </c>
      <c r="C4" s="24" t="inlineStr">
        <is>
          <t>[Filter] Translations for Spanish &amp; French - Json Creation &amp; Verify</t>
        </is>
      </c>
      <c r="D4" s="22" t="inlineStr">
        <is>
          <t>FILTER-12099</t>
        </is>
      </c>
      <c r="E4" s="22" t="inlineStr">
        <is>
          <t>Epic</t>
        </is>
      </c>
      <c r="F4" s="22" t="inlineStr">
        <is>
          <t>Harshada Kude</t>
        </is>
      </c>
      <c r="G4" s="22" t="inlineStr">
        <is>
          <t>RELEASED TO PROD</t>
        </is>
      </c>
      <c r="H4" s="22" t="inlineStr"/>
      <c r="I4" s="22" t="inlineStr">
        <is>
          <t>P3</t>
        </is>
      </c>
      <c r="J4" s="25" t="n">
        <v>46080</v>
      </c>
      <c r="K4" s="22" t="n"/>
      <c r="L4" s="25" t="n">
        <v>46139</v>
      </c>
      <c r="M4" s="22" t="inlineStr">
        <is>
          <t>sprint-Fay</t>
        </is>
      </c>
      <c r="N4" s="26" t="n">
        <v>24</v>
      </c>
      <c r="O4" s="26" t="n">
        <v>0</v>
      </c>
      <c r="P4" s="22" t="inlineStr">
        <is>
          <t>FILTER</t>
        </is>
      </c>
      <c r="Q4" s="22" t="inlineStr">
        <is>
          <t>unplanned-sprint</t>
        </is>
      </c>
      <c r="R4" s="22" t="inlineStr"/>
      <c r="S4" s="27" t="inlineStr">
        <is>
          <t>YES</t>
        </is>
      </c>
    </row>
    <row r="5">
      <c r="A5" s="22" t="inlineStr">
        <is>
          <t>Story</t>
        </is>
      </c>
      <c r="B5" s="23" t="inlineStr">
        <is>
          <t>FILTER-12305</t>
        </is>
      </c>
      <c r="C5" s="24" t="inlineStr">
        <is>
          <t>[Filter] Consumption of json Translations in Settings</t>
        </is>
      </c>
      <c r="D5" s="22" t="inlineStr">
        <is>
          <t>FILTER-12099</t>
        </is>
      </c>
      <c r="E5" s="22" t="inlineStr">
        <is>
          <t>Epic</t>
        </is>
      </c>
      <c r="F5" s="22" t="inlineStr">
        <is>
          <t>Harshada Kude</t>
        </is>
      </c>
      <c r="G5" s="22" t="inlineStr">
        <is>
          <t>RELEASED TO PROD</t>
        </is>
      </c>
      <c r="H5" s="22" t="inlineStr"/>
      <c r="I5" s="22" t="inlineStr">
        <is>
          <t>P3</t>
        </is>
      </c>
      <c r="J5" s="25" t="n">
        <v>46083</v>
      </c>
      <c r="K5" s="22" t="n"/>
      <c r="L5" s="25" t="n">
        <v>46139</v>
      </c>
      <c r="M5" s="22" t="inlineStr">
        <is>
          <t>sprint-Fay</t>
        </is>
      </c>
      <c r="N5" s="26" t="n">
        <v>10.5</v>
      </c>
      <c r="O5" s="26" t="n">
        <v>0</v>
      </c>
      <c r="P5" s="22" t="inlineStr">
        <is>
          <t>FILTER</t>
        </is>
      </c>
      <c r="Q5" s="22" t="inlineStr"/>
      <c r="R5" s="22" t="inlineStr"/>
      <c r="S5" s="27" t="inlineStr">
        <is>
          <t>YES</t>
        </is>
      </c>
    </row>
    <row r="6">
      <c r="A6" s="22" t="inlineStr">
        <is>
          <t>Story</t>
        </is>
      </c>
      <c r="B6" s="23" t="inlineStr">
        <is>
          <t>FILTER-12311</t>
        </is>
      </c>
      <c r="C6" s="24" t="inlineStr">
        <is>
          <t>[Filter] Cross check Filter Application Other Remaining instances of | translate or instant</t>
        </is>
      </c>
      <c r="D6" s="22" t="inlineStr">
        <is>
          <t>FILTER-12099</t>
        </is>
      </c>
      <c r="E6" s="22" t="inlineStr">
        <is>
          <t>Epic</t>
        </is>
      </c>
      <c r="F6" s="22" t="inlineStr">
        <is>
          <t>Harshada Kude</t>
        </is>
      </c>
      <c r="G6" s="22" t="inlineStr">
        <is>
          <t>RELEASED TO PROD</t>
        </is>
      </c>
      <c r="H6" s="22" t="inlineStr"/>
      <c r="I6" s="22" t="inlineStr">
        <is>
          <t>P3</t>
        </is>
      </c>
      <c r="J6" s="25" t="n">
        <v>46083</v>
      </c>
      <c r="K6" s="22" t="n"/>
      <c r="L6" s="25" t="n">
        <v>46139</v>
      </c>
      <c r="M6" s="22" t="inlineStr">
        <is>
          <t>sprint-Fay</t>
        </is>
      </c>
      <c r="N6" s="26" t="n">
        <v>18.5</v>
      </c>
      <c r="O6" s="26" t="n">
        <v>0</v>
      </c>
      <c r="P6" s="22" t="inlineStr">
        <is>
          <t>FILTER</t>
        </is>
      </c>
      <c r="Q6" s="22" t="inlineStr"/>
      <c r="R6" s="22" t="inlineStr"/>
      <c r="S6" s="27" t="inlineStr">
        <is>
          <t>YES</t>
        </is>
      </c>
    </row>
    <row r="7">
      <c r="A7" s="22" t="inlineStr">
        <is>
          <t>Story</t>
        </is>
      </c>
      <c r="B7" s="23" t="inlineStr">
        <is>
          <t>FILTER-12474</t>
        </is>
      </c>
      <c r="C7" s="24" t="inlineStr">
        <is>
          <t xml:space="preserve">[Filter] Accessibility Fix - 3.1.2 </t>
        </is>
      </c>
      <c r="D7" s="22" t="inlineStr">
        <is>
          <t>FILTER-12099</t>
        </is>
      </c>
      <c r="E7" s="22" t="inlineStr">
        <is>
          <t>Epic</t>
        </is>
      </c>
      <c r="F7" s="22" t="inlineStr">
        <is>
          <t>Harshada Kude</t>
        </is>
      </c>
      <c r="G7" s="22" t="inlineStr">
        <is>
          <t>RELEASED TO PROD</t>
        </is>
      </c>
      <c r="H7" s="22" t="inlineStr"/>
      <c r="I7" s="22" t="inlineStr">
        <is>
          <t>P3</t>
        </is>
      </c>
      <c r="J7" s="25" t="n">
        <v>46094</v>
      </c>
      <c r="K7" s="22" t="n"/>
      <c r="L7" s="25" t="n">
        <v>46139</v>
      </c>
      <c r="M7" s="22" t="inlineStr">
        <is>
          <t>sprint-Fay</t>
        </is>
      </c>
      <c r="N7" s="26" t="n">
        <v>0</v>
      </c>
      <c r="O7" s="26" t="n">
        <v>0</v>
      </c>
      <c r="P7" s="22" t="inlineStr">
        <is>
          <t>FILTER</t>
        </is>
      </c>
      <c r="Q7" s="22" t="inlineStr">
        <is>
          <t>unplanned-sprint</t>
        </is>
      </c>
      <c r="R7" s="22" t="inlineStr"/>
      <c r="S7" s="27" t="inlineStr">
        <is>
          <t>YES</t>
        </is>
      </c>
    </row>
    <row r="8">
      <c r="A8" s="22" t="inlineStr">
        <is>
          <t>Task</t>
        </is>
      </c>
      <c r="B8" s="23" t="inlineStr">
        <is>
          <t>FILTER-12681</t>
        </is>
      </c>
      <c r="C8" s="24" t="inlineStr">
        <is>
          <t>Fix New Translation Strategy Related Issues</t>
        </is>
      </c>
      <c r="D8" s="22" t="inlineStr"/>
      <c r="E8" s="22" t="inlineStr"/>
      <c r="F8" s="22" t="inlineStr">
        <is>
          <t>Harshada Kude</t>
        </is>
      </c>
      <c r="G8" s="22" t="inlineStr">
        <is>
          <t>RELEASED TO PROD</t>
        </is>
      </c>
      <c r="H8" s="22" t="inlineStr">
        <is>
          <t>Fixed</t>
        </is>
      </c>
      <c r="I8" s="22" t="inlineStr">
        <is>
          <t>P3</t>
        </is>
      </c>
      <c r="J8" s="25" t="n">
        <v>46106</v>
      </c>
      <c r="K8" s="25" t="n">
        <v>46110</v>
      </c>
      <c r="L8" s="25" t="n">
        <v>46127</v>
      </c>
      <c r="M8" s="22" t="inlineStr">
        <is>
          <t>sprint-Fay</t>
        </is>
      </c>
      <c r="N8" s="26" t="n">
        <v>1</v>
      </c>
      <c r="O8" s="26" t="n">
        <v>0</v>
      </c>
      <c r="P8" s="22" t="inlineStr">
        <is>
          <t>FILTER</t>
        </is>
      </c>
      <c r="Q8" s="22" t="inlineStr">
        <is>
          <t>unplanned-sprint</t>
        </is>
      </c>
      <c r="R8" s="22" t="inlineStr"/>
      <c r="S8" s="27" t="inlineStr">
        <is>
          <t>YES</t>
        </is>
      </c>
    </row>
    <row r="9">
      <c r="A9" s="22" t="inlineStr">
        <is>
          <t>Task</t>
        </is>
      </c>
      <c r="B9" s="23" t="inlineStr">
        <is>
          <t>FILTER-12677</t>
        </is>
      </c>
      <c r="C9" s="24" t="inlineStr">
        <is>
          <t>Update if condition for scru cookie</t>
        </is>
      </c>
      <c r="D9" s="22" t="inlineStr"/>
      <c r="E9" s="22" t="inlineStr"/>
      <c r="F9" s="22" t="inlineStr">
        <is>
          <t>Prateek Fotedar</t>
        </is>
      </c>
      <c r="G9" s="22" t="inlineStr">
        <is>
          <t>Closed</t>
        </is>
      </c>
      <c r="H9" s="22" t="inlineStr"/>
      <c r="I9" s="22" t="inlineStr">
        <is>
          <t>P3</t>
        </is>
      </c>
      <c r="J9" s="25" t="n">
        <v>46106</v>
      </c>
      <c r="K9" s="22" t="n"/>
      <c r="L9" s="25" t="n">
        <v>46133</v>
      </c>
      <c r="M9" s="22" t="inlineStr">
        <is>
          <t>sprint-Fay</t>
        </is>
      </c>
      <c r="N9" s="26" t="n">
        <v>1</v>
      </c>
      <c r="O9" s="26" t="n">
        <v>1</v>
      </c>
      <c r="P9" s="22" t="inlineStr">
        <is>
          <t>FILTER</t>
        </is>
      </c>
      <c r="Q9" s="22" t="inlineStr">
        <is>
          <t>unplanned-sprint</t>
        </is>
      </c>
      <c r="R9" s="22" t="inlineStr"/>
      <c r="S9" s="27" t="inlineStr">
        <is>
          <t>YES</t>
        </is>
      </c>
    </row>
    <row r="10">
      <c r="A10" s="22" t="inlineStr">
        <is>
          <t>Task</t>
        </is>
      </c>
      <c r="B10" s="23" t="inlineStr">
        <is>
          <t>FILTER-12796</t>
        </is>
      </c>
      <c r="C10" s="24" t="inlineStr">
        <is>
          <t>Update Cron Job for tokenization</t>
        </is>
      </c>
      <c r="D10" s="22" t="inlineStr"/>
      <c r="E10" s="22" t="inlineStr"/>
      <c r="F10" s="22" t="inlineStr">
        <is>
          <t>Prateek Fotedar</t>
        </is>
      </c>
      <c r="G10" s="22" t="inlineStr">
        <is>
          <t>QA Verified</t>
        </is>
      </c>
      <c r="H10" s="22" t="inlineStr">
        <is>
          <t>Fixed</t>
        </is>
      </c>
      <c r="I10" s="22" t="inlineStr">
        <is>
          <t>P3</t>
        </is>
      </c>
      <c r="J10" s="25" t="n">
        <v>46108</v>
      </c>
      <c r="K10" s="25" t="n">
        <v>46110</v>
      </c>
      <c r="L10" s="25" t="n">
        <v>46139</v>
      </c>
      <c r="M10" s="22" t="inlineStr">
        <is>
          <t>sprint-Fay</t>
        </is>
      </c>
      <c r="N10" s="26" t="n">
        <v>1</v>
      </c>
      <c r="O10" s="26" t="n">
        <v>0</v>
      </c>
      <c r="P10" s="22" t="inlineStr">
        <is>
          <t>FILTER</t>
        </is>
      </c>
      <c r="Q10" s="22" t="inlineStr">
        <is>
          <t>unplanned-sprint</t>
        </is>
      </c>
      <c r="R10" s="22" t="inlineStr"/>
      <c r="S10" s="27" t="inlineStr">
        <is>
          <t>YES</t>
        </is>
      </c>
    </row>
    <row r="11">
      <c r="A11" s="22" t="inlineStr">
        <is>
          <t>Story</t>
        </is>
      </c>
      <c r="B11" s="23" t="inlineStr">
        <is>
          <t>FILTER-12332</t>
        </is>
      </c>
      <c r="C11" s="24" t="inlineStr">
        <is>
          <t>[sprox] Logging module integration</t>
        </is>
      </c>
      <c r="D11" s="22" t="inlineStr">
        <is>
          <t>FILTER-8230</t>
        </is>
      </c>
      <c r="E11" s="22" t="inlineStr">
        <is>
          <t>Epic</t>
        </is>
      </c>
      <c r="F11" s="22" t="inlineStr">
        <is>
          <t>Ravi Raj</t>
        </is>
      </c>
      <c r="G11" s="22" t="inlineStr">
        <is>
          <t>Ready For Release</t>
        </is>
      </c>
      <c r="H11" s="22" t="inlineStr"/>
      <c r="I11" s="22" t="inlineStr">
        <is>
          <t>P3</t>
        </is>
      </c>
      <c r="J11" s="25" t="n">
        <v>46083</v>
      </c>
      <c r="K11" s="22" t="n"/>
      <c r="L11" s="25" t="n">
        <v>46110</v>
      </c>
      <c r="M11" s="22" t="inlineStr">
        <is>
          <t>sprint-Fay</t>
        </is>
      </c>
      <c r="N11" s="26" t="n">
        <v>16</v>
      </c>
      <c r="O11" s="26" t="n">
        <v>0</v>
      </c>
      <c r="P11" s="22" t="inlineStr">
        <is>
          <t>FILTER</t>
        </is>
      </c>
      <c r="Q11" s="22" t="inlineStr"/>
      <c r="R11" s="22" t="inlineStr"/>
      <c r="S11" s="27" t="inlineStr">
        <is>
          <t>YES</t>
        </is>
      </c>
    </row>
    <row r="12">
      <c r="A12" s="22" t="inlineStr">
        <is>
          <t>Story</t>
        </is>
      </c>
      <c r="B12" s="23" t="inlineStr">
        <is>
          <t>FILTER-12334</t>
        </is>
      </c>
      <c r="C12" s="24" t="inlineStr">
        <is>
          <t>[sprox] Captcha analysis and logging integration</t>
        </is>
      </c>
      <c r="D12" s="22" t="inlineStr">
        <is>
          <t>FILTER-8230</t>
        </is>
      </c>
      <c r="E12" s="22" t="inlineStr">
        <is>
          <t>Epic</t>
        </is>
      </c>
      <c r="F12" s="22" t="inlineStr">
        <is>
          <t>Ravi Raj</t>
        </is>
      </c>
      <c r="G12" s="22" t="inlineStr">
        <is>
          <t>Closed without action</t>
        </is>
      </c>
      <c r="H12" s="22" t="inlineStr"/>
      <c r="I12" s="22" t="inlineStr">
        <is>
          <t>P3</t>
        </is>
      </c>
      <c r="J12" s="25" t="n">
        <v>46083</v>
      </c>
      <c r="K12" s="22" t="n"/>
      <c r="L12" s="25" t="n">
        <v>46111</v>
      </c>
      <c r="M12" s="22" t="inlineStr">
        <is>
          <t>sprint-Fay</t>
        </is>
      </c>
      <c r="N12" s="26" t="n">
        <v>16</v>
      </c>
      <c r="O12" s="26" t="n">
        <v>0</v>
      </c>
      <c r="P12" s="22" t="inlineStr">
        <is>
          <t>FILTER</t>
        </is>
      </c>
      <c r="Q12" s="22" t="inlineStr"/>
      <c r="R12" s="22" t="inlineStr"/>
      <c r="S12" s="27" t="inlineStr">
        <is>
          <t>YES</t>
        </is>
      </c>
    </row>
    <row r="13">
      <c r="A13" s="22" t="inlineStr">
        <is>
          <t>Debug</t>
        </is>
      </c>
      <c r="B13" s="23" t="inlineStr">
        <is>
          <t>FILTER-12970</t>
        </is>
      </c>
      <c r="C13" s="24" t="inlineStr">
        <is>
          <t>[sprox] Duckduckgo Keyword not logging</t>
        </is>
      </c>
      <c r="D13" s="22" t="inlineStr"/>
      <c r="E13" s="22" t="inlineStr"/>
      <c r="F13" s="22" t="inlineStr">
        <is>
          <t>Ravi Raj</t>
        </is>
      </c>
      <c r="G13" s="22" t="inlineStr">
        <is>
          <t>Resolved</t>
        </is>
      </c>
      <c r="H13" s="22" t="inlineStr"/>
      <c r="I13" s="22" t="inlineStr">
        <is>
          <t>P3</t>
        </is>
      </c>
      <c r="J13" s="25" t="n">
        <v>46111</v>
      </c>
      <c r="K13" s="22" t="n"/>
      <c r="L13" s="25" t="n">
        <v>46111</v>
      </c>
      <c r="M13" s="22" t="inlineStr">
        <is>
          <t>sprint-Fay</t>
        </is>
      </c>
      <c r="N13" s="26" t="n">
        <v>6</v>
      </c>
      <c r="O13" s="26" t="n">
        <v>6</v>
      </c>
      <c r="P13" s="22" t="inlineStr">
        <is>
          <t>FILTER</t>
        </is>
      </c>
      <c r="Q13" s="22" t="inlineStr">
        <is>
          <t>unplanned-sprint</t>
        </is>
      </c>
      <c r="R13" s="22" t="inlineStr"/>
      <c r="S13" s="27" t="inlineStr">
        <is>
          <t>YES</t>
        </is>
      </c>
    </row>
    <row r="14">
      <c r="A14" s="22" t="inlineStr">
        <is>
          <t>Debug</t>
        </is>
      </c>
      <c r="B14" s="23" t="inlineStr">
        <is>
          <t>FILTER-12971</t>
        </is>
      </c>
      <c r="C14" s="24" t="inlineStr">
        <is>
          <t>[sprox] Disable off campus filtering not working</t>
        </is>
      </c>
      <c r="D14" s="22" t="inlineStr"/>
      <c r="E14" s="22" t="inlineStr"/>
      <c r="F14" s="22" t="inlineStr">
        <is>
          <t>Ravi Raj</t>
        </is>
      </c>
      <c r="G14" s="22" t="inlineStr">
        <is>
          <t>Resolved</t>
        </is>
      </c>
      <c r="H14" s="22" t="inlineStr"/>
      <c r="I14" s="22" t="inlineStr">
        <is>
          <t>P3</t>
        </is>
      </c>
      <c r="J14" s="25" t="n">
        <v>46111</v>
      </c>
      <c r="K14" s="22" t="n"/>
      <c r="L14" s="25" t="n">
        <v>46111</v>
      </c>
      <c r="M14" s="22" t="inlineStr">
        <is>
          <t>sprint-Fay</t>
        </is>
      </c>
      <c r="N14" s="26" t="n">
        <v>4</v>
      </c>
      <c r="O14" s="26" t="n">
        <v>4</v>
      </c>
      <c r="P14" s="22" t="inlineStr">
        <is>
          <t>FILTER</t>
        </is>
      </c>
      <c r="Q14" s="22" t="inlineStr">
        <is>
          <t>unplanned-sprint</t>
        </is>
      </c>
      <c r="R14" s="22" t="inlineStr"/>
      <c r="S14" s="27" t="inlineStr">
        <is>
          <t>YES</t>
        </is>
      </c>
    </row>
    <row r="15">
      <c r="A15" s="22" t="inlineStr">
        <is>
          <t>Debug</t>
        </is>
      </c>
      <c r="B15" s="23" t="inlineStr">
        <is>
          <t>FILTER-12972</t>
        </is>
      </c>
      <c r="C15" s="24" t="inlineStr">
        <is>
          <t>[sprox] Keyword block shows wrong reason for blocking</t>
        </is>
      </c>
      <c r="D15" s="22" t="inlineStr"/>
      <c r="E15" s="22" t="inlineStr"/>
      <c r="F15" s="22" t="inlineStr">
        <is>
          <t>Ravi Raj</t>
        </is>
      </c>
      <c r="G15" s="22" t="inlineStr">
        <is>
          <t>Resolved</t>
        </is>
      </c>
      <c r="H15" s="22" t="inlineStr"/>
      <c r="I15" s="22" t="inlineStr">
        <is>
          <t>P3</t>
        </is>
      </c>
      <c r="J15" s="25" t="n">
        <v>46111</v>
      </c>
      <c r="K15" s="22" t="n"/>
      <c r="L15" s="25" t="n">
        <v>46111</v>
      </c>
      <c r="M15" s="22" t="inlineStr">
        <is>
          <t>sprint-Fay</t>
        </is>
      </c>
      <c r="N15" s="26" t="n">
        <v>6</v>
      </c>
      <c r="O15" s="26" t="n">
        <v>6</v>
      </c>
      <c r="P15" s="22" t="inlineStr">
        <is>
          <t>FILTER</t>
        </is>
      </c>
      <c r="Q15" s="22" t="inlineStr">
        <is>
          <t>unplanned-sprint</t>
        </is>
      </c>
      <c r="R15" s="22" t="inlineStr"/>
      <c r="S15" s="27" t="inlineStr">
        <is>
          <t>YES</t>
        </is>
      </c>
    </row>
    <row r="16">
      <c r="A16" s="22" t="inlineStr">
        <is>
          <t>Debug</t>
        </is>
      </c>
      <c r="B16" s="23" t="inlineStr">
        <is>
          <t>FILTER-13024</t>
        </is>
      </c>
      <c r="C16" s="24" t="inlineStr">
        <is>
          <t>[sprox] Migrate IsReduceTraffic function to Rust</t>
        </is>
      </c>
      <c r="D16" s="22" t="inlineStr"/>
      <c r="E16" s="22" t="inlineStr"/>
      <c r="F16" s="22" t="inlineStr">
        <is>
          <t>Ravi Raj</t>
        </is>
      </c>
      <c r="G16" s="22" t="inlineStr">
        <is>
          <t>Resolved</t>
        </is>
      </c>
      <c r="H16" s="22" t="inlineStr"/>
      <c r="I16" s="22" t="inlineStr">
        <is>
          <t>P3</t>
        </is>
      </c>
      <c r="J16" s="25" t="n">
        <v>46112</v>
      </c>
      <c r="K16" s="22" t="n"/>
      <c r="L16" s="25" t="n">
        <v>46112</v>
      </c>
      <c r="M16" s="22" t="inlineStr">
        <is>
          <t>sprint-Fay</t>
        </is>
      </c>
      <c r="N16" s="26" t="n">
        <v>8</v>
      </c>
      <c r="O16" s="26" t="n">
        <v>8</v>
      </c>
      <c r="P16" s="22" t="inlineStr">
        <is>
          <t>FILTER</t>
        </is>
      </c>
      <c r="Q16" s="22" t="inlineStr">
        <is>
          <t>unplanned-sprint</t>
        </is>
      </c>
      <c r="R16" s="22" t="inlineStr"/>
      <c r="S16" s="27" t="inlineStr">
        <is>
          <t>YES</t>
        </is>
      </c>
    </row>
    <row r="17">
      <c r="A17" s="22" t="inlineStr">
        <is>
          <t>Support Request</t>
        </is>
      </c>
      <c r="B17" s="23" t="inlineStr">
        <is>
          <t>FILTER-10777</t>
        </is>
      </c>
      <c r="C17" s="24" t="inlineStr">
        <is>
          <t xml:space="preserve">Remove play.google.com from perm whitelist for FID securly@mhat.org.uk	</t>
        </is>
      </c>
      <c r="D17" s="22" t="inlineStr"/>
      <c r="E17" s="22" t="inlineStr"/>
      <c r="F17" s="22" t="inlineStr">
        <is>
          <t>Sagar Satpute</t>
        </is>
      </c>
      <c r="G17" s="22" t="inlineStr">
        <is>
          <t>Closed without action</t>
        </is>
      </c>
      <c r="H17" s="22" t="inlineStr"/>
      <c r="I17" s="22" t="inlineStr">
        <is>
          <t>P3</t>
        </is>
      </c>
      <c r="J17" s="25" t="n">
        <v>45974</v>
      </c>
      <c r="K17" s="22" t="n"/>
      <c r="L17" s="25" t="n">
        <v>46111</v>
      </c>
      <c r="M17" s="22" t="inlineStr">
        <is>
          <t>sprint-Fay</t>
        </is>
      </c>
      <c r="N17" s="26" t="n">
        <v>3</v>
      </c>
      <c r="O17" s="26" t="n">
        <v>5</v>
      </c>
      <c r="P17" s="22" t="inlineStr">
        <is>
          <t>FILTER</t>
        </is>
      </c>
      <c r="Q17" s="22" t="inlineStr">
        <is>
          <t>jira_added, jira_backlog, jira_escalated, unplanned-sprint</t>
        </is>
      </c>
      <c r="R17" s="22" t="inlineStr"/>
      <c r="S17" s="27" t="inlineStr">
        <is>
          <t>YES</t>
        </is>
      </c>
    </row>
    <row r="18">
      <c r="A18" s="22" t="inlineStr">
        <is>
          <t>Task</t>
        </is>
      </c>
      <c r="B18" s="23" t="inlineStr">
        <is>
          <t>FILTER-12697</t>
        </is>
      </c>
      <c r="C18" s="24" t="inlineStr">
        <is>
          <t>Investigate and fix case generation for On-Call demo data</t>
        </is>
      </c>
      <c r="D18" s="22" t="inlineStr"/>
      <c r="E18" s="22" t="inlineStr"/>
      <c r="F18" s="22" t="inlineStr">
        <is>
          <t>Sagar Satpute</t>
        </is>
      </c>
      <c r="G18" s="22" t="inlineStr">
        <is>
          <t>Closed</t>
        </is>
      </c>
      <c r="H18" s="22" t="inlineStr"/>
      <c r="I18" s="22" t="inlineStr">
        <is>
          <t>P3</t>
        </is>
      </c>
      <c r="J18" s="25" t="n">
        <v>46107</v>
      </c>
      <c r="K18" s="22" t="n"/>
      <c r="L18" s="25" t="n">
        <v>46133</v>
      </c>
      <c r="M18" s="22" t="inlineStr">
        <is>
          <t>sprint-Fay</t>
        </is>
      </c>
      <c r="N18" s="26" t="n">
        <v>4</v>
      </c>
      <c r="O18" s="26" t="n">
        <v>0</v>
      </c>
      <c r="P18" s="22" t="inlineStr">
        <is>
          <t>FILTER</t>
        </is>
      </c>
      <c r="Q18" s="22" t="inlineStr">
        <is>
          <t>unplanned-sprint</t>
        </is>
      </c>
      <c r="R18" s="22" t="inlineStr"/>
      <c r="S18" s="27" t="inlineStr">
        <is>
          <t>YES</t>
        </is>
      </c>
    </row>
    <row r="19">
      <c r="A19" s="22" t="inlineStr">
        <is>
          <t>Story</t>
        </is>
      </c>
      <c r="B19" s="23" t="inlineStr">
        <is>
          <t>FILTER-12467</t>
        </is>
      </c>
      <c r="C19" s="24" t="inlineStr">
        <is>
          <t>Filter Accessibility - 4.1.2 (Name, role and value)</t>
        </is>
      </c>
      <c r="D19" s="22" t="inlineStr"/>
      <c r="E19" s="22" t="inlineStr"/>
      <c r="F19" s="22" t="inlineStr">
        <is>
          <t>Swaroop Chavhan</t>
        </is>
      </c>
      <c r="G19" s="22" t="inlineStr">
        <is>
          <t>RELEASED TO PROD</t>
        </is>
      </c>
      <c r="H19" s="22" t="inlineStr"/>
      <c r="I19" s="22" t="inlineStr">
        <is>
          <t>P3</t>
        </is>
      </c>
      <c r="J19" s="25" t="n">
        <v>46094</v>
      </c>
      <c r="K19" s="22" t="n"/>
      <c r="L19" s="25" t="n">
        <v>46139</v>
      </c>
      <c r="M19" s="22" t="inlineStr">
        <is>
          <t>sprint-Fay</t>
        </is>
      </c>
      <c r="N19" s="26" t="n">
        <v>48</v>
      </c>
      <c r="O19" s="26" t="n">
        <v>0</v>
      </c>
      <c r="P19" s="22" t="inlineStr">
        <is>
          <t>FILTER</t>
        </is>
      </c>
      <c r="Q19" s="22" t="inlineStr"/>
      <c r="R19" s="22" t="inlineStr"/>
      <c r="S19" s="27" t="inlineStr">
        <is>
          <t>YES</t>
        </is>
      </c>
    </row>
    <row r="20">
      <c r="A20" s="22" t="inlineStr">
        <is>
          <t>Story</t>
        </is>
      </c>
      <c r="B20" s="23" t="inlineStr">
        <is>
          <t>FILTER-12472</t>
        </is>
      </c>
      <c r="C20" s="24" t="inlineStr">
        <is>
          <t>Filter Accessibility - other variations of 4.1.2, 1.4.13</t>
        </is>
      </c>
      <c r="D20" s="22" t="inlineStr"/>
      <c r="E20" s="22" t="inlineStr"/>
      <c r="F20" s="22" t="inlineStr">
        <is>
          <t>Swaroop Chavhan</t>
        </is>
      </c>
      <c r="G20" s="22" t="inlineStr">
        <is>
          <t>RELEASED TO PROD</t>
        </is>
      </c>
      <c r="H20" s="22" t="inlineStr"/>
      <c r="I20" s="22" t="inlineStr">
        <is>
          <t>P3</t>
        </is>
      </c>
      <c r="J20" s="25" t="n">
        <v>46094</v>
      </c>
      <c r="K20" s="22" t="n"/>
      <c r="L20" s="25" t="n">
        <v>46139</v>
      </c>
      <c r="M20" s="22" t="inlineStr">
        <is>
          <t>sprint-Fay</t>
        </is>
      </c>
      <c r="N20" s="26" t="n">
        <v>24</v>
      </c>
      <c r="O20" s="26" t="n">
        <v>0</v>
      </c>
      <c r="P20" s="22" t="inlineStr">
        <is>
          <t>FILTER</t>
        </is>
      </c>
      <c r="Q20" s="22" t="inlineStr"/>
      <c r="R20" s="22" t="inlineStr"/>
      <c r="S20" s="27" t="inlineStr">
        <is>
          <t>YES</t>
        </is>
      </c>
    </row>
    <row r="21">
      <c r="A21" s="22" t="inlineStr">
        <is>
          <t>Task</t>
        </is>
      </c>
      <c r="B21" s="23" t="inlineStr">
        <is>
          <t>FILTER-12342</t>
        </is>
      </c>
      <c r="C21" s="24" t="inlineStr">
        <is>
          <t>POC - Check from last 1 month, all QA tasks can be verified with Cursor browser or playwright</t>
        </is>
      </c>
      <c r="D21" s="22" t="inlineStr">
        <is>
          <t>FILTER-12341</t>
        </is>
      </c>
      <c r="E21" s="22" t="inlineStr">
        <is>
          <t>Epic</t>
        </is>
      </c>
      <c r="F21" s="22" t="inlineStr">
        <is>
          <t>Vaibhav Kumbhar</t>
        </is>
      </c>
      <c r="G21" s="22" t="inlineStr">
        <is>
          <t>Resolved</t>
        </is>
      </c>
      <c r="H21" s="22" t="inlineStr"/>
      <c r="I21" s="22" t="inlineStr">
        <is>
          <t>P2</t>
        </is>
      </c>
      <c r="J21" s="25" t="n">
        <v>46084</v>
      </c>
      <c r="K21" s="22" t="n"/>
      <c r="L21" s="25" t="n">
        <v>46112</v>
      </c>
      <c r="M21" s="22" t="inlineStr">
        <is>
          <t>sprint-Fay</t>
        </is>
      </c>
      <c r="N21" s="26" t="n">
        <v>20</v>
      </c>
      <c r="O21" s="26" t="n">
        <v>0</v>
      </c>
      <c r="P21" s="22" t="inlineStr">
        <is>
          <t>FILTER</t>
        </is>
      </c>
      <c r="Q21" s="22" t="inlineStr">
        <is>
          <t>unplanned-sprint</t>
        </is>
      </c>
      <c r="R21" s="22" t="inlineStr"/>
      <c r="S21" s="27" t="inlineStr">
        <is>
          <t>YES</t>
        </is>
      </c>
    </row>
    <row r="22">
      <c r="A22" t="inlineStr">
        <is>
          <t>QA</t>
        </is>
      </c>
      <c r="B22" s="28" t="inlineStr">
        <is>
          <t>FILTER-11569</t>
        </is>
      </c>
      <c r="C22" s="20" t="inlineStr">
        <is>
          <t>Manual QA Validation: Safety Resource Accessibility on SmartPAC (US-West)</t>
        </is>
      </c>
      <c r="D22" t="inlineStr">
        <is>
          <t>FILTER-11539</t>
        </is>
      </c>
      <c r="E22" t="inlineStr">
        <is>
          <t>Escape Defect</t>
        </is>
      </c>
      <c r="F22" t="inlineStr">
        <is>
          <t>Altamash Heroli</t>
        </is>
      </c>
      <c r="G22" t="inlineStr">
        <is>
          <t>Closed without action</t>
        </is>
      </c>
      <c r="H22" t="inlineStr"/>
      <c r="I22" t="inlineStr">
        <is>
          <t>P2</t>
        </is>
      </c>
      <c r="J22" s="29" t="n">
        <v>46024</v>
      </c>
      <c r="L22" s="29" t="n">
        <v>46111</v>
      </c>
      <c r="M22" t="inlineStr">
        <is>
          <t>sprint-Fay</t>
        </is>
      </c>
      <c r="N22" s="11" t="n">
        <v>0</v>
      </c>
      <c r="O22" s="11" t="n">
        <v>2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Story</t>
        </is>
      </c>
      <c r="B23" s="28" t="inlineStr">
        <is>
          <t>FILTER-11974</t>
        </is>
      </c>
      <c r="C23" s="20" t="inlineStr">
        <is>
          <t>Verify all Image Blur test cases for JS</t>
        </is>
      </c>
      <c r="D23" t="inlineStr">
        <is>
          <t>FILTER-11972</t>
        </is>
      </c>
      <c r="E23" t="inlineStr">
        <is>
          <t>Epic</t>
        </is>
      </c>
      <c r="F23" t="inlineStr">
        <is>
          <t>Altamash Heroli</t>
        </is>
      </c>
      <c r="G23" t="inlineStr">
        <is>
          <t>Done</t>
        </is>
      </c>
      <c r="H23" t="inlineStr"/>
      <c r="I23" t="inlineStr">
        <is>
          <t>P2</t>
        </is>
      </c>
      <c r="J23" s="29" t="n">
        <v>46058</v>
      </c>
      <c r="L23" s="29" t="n">
        <v>46127</v>
      </c>
      <c r="M23" t="inlineStr">
        <is>
          <t>sprint-Fay</t>
        </is>
      </c>
      <c r="N23" s="11" t="n">
        <v>55</v>
      </c>
      <c r="O23" s="11" t="n">
        <v>65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QA</t>
        </is>
      </c>
      <c r="B24" s="28" t="inlineStr">
        <is>
          <t>FILTER-12166</t>
        </is>
      </c>
      <c r="C24" s="20" t="inlineStr">
        <is>
          <t>Filter blocks W3Schools-style sandbox bypass via CDN/iframe (jsdelivr, Vercel, W3Spaces)</t>
        </is>
      </c>
      <c r="D24" t="inlineStr">
        <is>
          <t>FILTER-12093</t>
        </is>
      </c>
      <c r="E24" t="inlineStr">
        <is>
          <t>Escape Defect</t>
        </is>
      </c>
      <c r="F24" t="inlineStr">
        <is>
          <t>Altamash Heroli</t>
        </is>
      </c>
      <c r="G24" t="inlineStr">
        <is>
          <t>Done</t>
        </is>
      </c>
      <c r="H24" t="inlineStr"/>
      <c r="I24" t="inlineStr">
        <is>
          <t>P1</t>
        </is>
      </c>
      <c r="J24" s="29" t="n">
        <v>46077</v>
      </c>
      <c r="L24" s="29" t="n">
        <v>46118</v>
      </c>
      <c r="M24" t="inlineStr">
        <is>
          <t>sprint-Fay</t>
        </is>
      </c>
      <c r="N24" s="11" t="n">
        <v>5</v>
      </c>
      <c r="O24" s="11" t="n">
        <v>6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QA</t>
        </is>
      </c>
      <c r="B25" s="28" t="inlineStr">
        <is>
          <t>FILTER-12196</t>
        </is>
      </c>
      <c r="C25" s="20" t="inlineStr">
        <is>
          <t>[BugCrowd] Verify unauthenticated beta FID API is removed and beta FID controls are secure</t>
        </is>
      </c>
      <c r="D25" t="inlineStr">
        <is>
          <t>FILTER-12003</t>
        </is>
      </c>
      <c r="E25" t="inlineStr">
        <is>
          <t>Defect</t>
        </is>
      </c>
      <c r="F25" t="inlineStr">
        <is>
          <t>Altamash Heroli</t>
        </is>
      </c>
      <c r="G25" t="inlineStr">
        <is>
          <t>Done</t>
        </is>
      </c>
      <c r="H25" t="inlineStr"/>
      <c r="I25" t="inlineStr">
        <is>
          <t>P3</t>
        </is>
      </c>
      <c r="J25" s="29" t="n">
        <v>46078</v>
      </c>
      <c r="L25" s="29" t="n">
        <v>46126</v>
      </c>
      <c r="M25" t="inlineStr">
        <is>
          <t>sprint-Fay</t>
        </is>
      </c>
      <c r="N25" s="11" t="n">
        <v>1.5</v>
      </c>
      <c r="O25" s="11" t="n">
        <v>4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QA</t>
        </is>
      </c>
      <c r="B26" s="28" t="inlineStr">
        <is>
          <t>FILTER-12287</t>
        </is>
      </c>
      <c r="C26" s="20" t="inlineStr">
        <is>
          <t>Verify all Image Blur test cases for JS</t>
        </is>
      </c>
      <c r="D26" t="inlineStr">
        <is>
          <t>FILTER-11974</t>
        </is>
      </c>
      <c r="E26" t="inlineStr">
        <is>
          <t>Story</t>
        </is>
      </c>
      <c r="F26" t="inlineStr">
        <is>
          <t>Altamash Heroli</t>
        </is>
      </c>
      <c r="G26" t="inlineStr">
        <is>
          <t>Done</t>
        </is>
      </c>
      <c r="H26" t="inlineStr"/>
      <c r="I26" t="inlineStr">
        <is>
          <t>P3</t>
        </is>
      </c>
      <c r="J26" s="29" t="n">
        <v>46080</v>
      </c>
      <c r="L26" s="29" t="n">
        <v>46124</v>
      </c>
      <c r="M26" t="inlineStr">
        <is>
          <t>sprint-Fay</t>
        </is>
      </c>
      <c r="N26" s="11" t="n">
        <v>55</v>
      </c>
      <c r="O26" s="11" t="n">
        <v>65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QA</t>
        </is>
      </c>
      <c r="B27" s="28" t="inlineStr">
        <is>
          <t>FILTER-12339</t>
        </is>
      </c>
      <c r="C27" s="20" t="inlineStr">
        <is>
          <t>Verify deactivated GAC user (tfisher@d84.org) no longer appears in extension logs/reports</t>
        </is>
      </c>
      <c r="D27" t="inlineStr">
        <is>
          <t>FILTER-12300</t>
        </is>
      </c>
      <c r="E27" t="inlineStr">
        <is>
          <t>Escape Defect</t>
        </is>
      </c>
      <c r="F27" t="inlineStr">
        <is>
          <t>Altamash Heroli</t>
        </is>
      </c>
      <c r="G27" t="inlineStr">
        <is>
          <t>Closed without action</t>
        </is>
      </c>
      <c r="H27" t="inlineStr"/>
      <c r="I27" t="inlineStr">
        <is>
          <t>P2</t>
        </is>
      </c>
      <c r="J27" s="29" t="n">
        <v>46084</v>
      </c>
      <c r="L27" s="29" t="n">
        <v>46104</v>
      </c>
      <c r="M27" t="inlineStr">
        <is>
          <t>sprint-Fay</t>
        </is>
      </c>
      <c r="N27" s="11" t="n">
        <v>0</v>
      </c>
      <c r="O27" s="11" t="n">
        <v>0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QA</t>
        </is>
      </c>
      <c r="B28" s="28" t="inlineStr">
        <is>
          <t>FILTER-12350</t>
        </is>
      </c>
      <c r="C28" s="20" t="inlineStr">
        <is>
          <t>Verify Support Tool FID search and display (all FIDs, including no-domain)</t>
        </is>
      </c>
      <c r="D28" t="inlineStr">
        <is>
          <t>FILTER-5401</t>
        </is>
      </c>
      <c r="E28" t="inlineStr">
        <is>
          <t>Task</t>
        </is>
      </c>
      <c r="F28" t="inlineStr">
        <is>
          <t>Altamash Heroli</t>
        </is>
      </c>
      <c r="G28" t="inlineStr">
        <is>
          <t>Done</t>
        </is>
      </c>
      <c r="H28" t="inlineStr"/>
      <c r="I28" t="inlineStr">
        <is>
          <t>P3</t>
        </is>
      </c>
      <c r="J28" s="29" t="n">
        <v>46084</v>
      </c>
      <c r="L28" s="29" t="n">
        <v>46126</v>
      </c>
      <c r="M28" t="inlineStr">
        <is>
          <t>sprint-Fay</t>
        </is>
      </c>
      <c r="N28" s="11" t="n">
        <v>1</v>
      </c>
      <c r="O28" s="11" t="n">
        <v>2</v>
      </c>
      <c r="P28" t="inlineStr">
        <is>
          <t>FILTER</t>
        </is>
      </c>
      <c r="Q28" t="inlineStr"/>
      <c r="R28" t="inlineStr"/>
      <c r="S28" t="inlineStr"/>
    </row>
    <row r="29">
      <c r="A29" t="inlineStr">
        <is>
          <t>QA</t>
        </is>
      </c>
      <c r="B29" s="28" t="inlineStr">
        <is>
          <t>FILTER-12353</t>
        </is>
      </c>
      <c r="C29" s="20" t="inlineStr">
        <is>
          <t>Verify Support Tool search includes FIDs with no domain/sub-domain</t>
        </is>
      </c>
      <c r="D29" t="inlineStr">
        <is>
          <t>FILTER-5679</t>
        </is>
      </c>
      <c r="E29" t="inlineStr">
        <is>
          <t>Task</t>
        </is>
      </c>
      <c r="F29" t="inlineStr">
        <is>
          <t>Altamash Heroli</t>
        </is>
      </c>
      <c r="G29" t="inlineStr">
        <is>
          <t>Done</t>
        </is>
      </c>
      <c r="H29" t="inlineStr"/>
      <c r="I29" t="inlineStr">
        <is>
          <t>P3</t>
        </is>
      </c>
      <c r="J29" s="29" t="n">
        <v>46084</v>
      </c>
      <c r="L29" s="29" t="n">
        <v>46133</v>
      </c>
      <c r="M29" t="inlineStr">
        <is>
          <t>sprint-Fay</t>
        </is>
      </c>
      <c r="N29" s="11" t="n">
        <v>2</v>
      </c>
      <c r="O29" s="11" t="n">
        <v>2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QA</t>
        </is>
      </c>
      <c r="B30" s="28" t="inlineStr">
        <is>
          <t>FILTER-12528</t>
        </is>
      </c>
      <c r="C30" s="20" t="inlineStr">
        <is>
          <t>Verify Translations for Spanish &amp; French</t>
        </is>
      </c>
      <c r="D30" t="inlineStr">
        <is>
          <t>FILTER-12293</t>
        </is>
      </c>
      <c r="E30" t="inlineStr">
        <is>
          <t>Story</t>
        </is>
      </c>
      <c r="F30" t="inlineStr">
        <is>
          <t>Altamash Heroli</t>
        </is>
      </c>
      <c r="G30" t="inlineStr">
        <is>
          <t>Done</t>
        </is>
      </c>
      <c r="H30" t="inlineStr"/>
      <c r="I30" t="inlineStr">
        <is>
          <t>P3</t>
        </is>
      </c>
      <c r="J30" s="29" t="n">
        <v>46098</v>
      </c>
      <c r="L30" s="29" t="n">
        <v>46133</v>
      </c>
      <c r="M30" t="inlineStr">
        <is>
          <t>sprint-Fay</t>
        </is>
      </c>
      <c r="N30" s="11" t="n">
        <v>6</v>
      </c>
      <c r="O30" s="11" t="n">
        <v>6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QA</t>
        </is>
      </c>
      <c r="B31" s="28" t="inlineStr">
        <is>
          <t>FILTER-12529</t>
        </is>
      </c>
      <c r="C31" s="20" t="inlineStr">
        <is>
          <t>Verify Consumption of json Translations in Settings</t>
        </is>
      </c>
      <c r="D31" t="inlineStr">
        <is>
          <t>FILTER-12305</t>
        </is>
      </c>
      <c r="E31" t="inlineStr">
        <is>
          <t>Story</t>
        </is>
      </c>
      <c r="F31" t="inlineStr">
        <is>
          <t>Altamash Heroli</t>
        </is>
      </c>
      <c r="G31" t="inlineStr">
        <is>
          <t>QA Verified</t>
        </is>
      </c>
      <c r="H31" t="inlineStr"/>
      <c r="I31" t="inlineStr">
        <is>
          <t>P3</t>
        </is>
      </c>
      <c r="J31" s="29" t="n">
        <v>46098</v>
      </c>
      <c r="L31" s="29" t="n">
        <v>46121</v>
      </c>
      <c r="M31" t="inlineStr">
        <is>
          <t>sprint-Fay</t>
        </is>
      </c>
      <c r="N31" s="11" t="n">
        <v>0.5</v>
      </c>
      <c r="O31" s="11" t="n">
        <v>3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QA</t>
        </is>
      </c>
      <c r="B32" s="28" t="inlineStr">
        <is>
          <t>FILTER-12530</t>
        </is>
      </c>
      <c r="C32" s="20" t="inlineStr">
        <is>
          <t>Verify  Consumption of json Translations in Policy Map</t>
        </is>
      </c>
      <c r="D32" t="inlineStr">
        <is>
          <t>FILTER-12307</t>
        </is>
      </c>
      <c r="E32" t="inlineStr">
        <is>
          <t>Story</t>
        </is>
      </c>
      <c r="F32" t="inlineStr">
        <is>
          <t>Altamash Heroli</t>
        </is>
      </c>
      <c r="G32" t="inlineStr">
        <is>
          <t>QA Verified</t>
        </is>
      </c>
      <c r="H32" t="inlineStr"/>
      <c r="I32" t="inlineStr">
        <is>
          <t>P3</t>
        </is>
      </c>
      <c r="J32" s="29" t="n">
        <v>46098</v>
      </c>
      <c r="L32" s="29" t="n">
        <v>46121</v>
      </c>
      <c r="M32" t="inlineStr">
        <is>
          <t>sprint-Fay</t>
        </is>
      </c>
      <c r="N32" s="11" t="n">
        <v>0.5</v>
      </c>
      <c r="O32" s="11" t="n">
        <v>6</v>
      </c>
      <c r="P32" t="inlineStr">
        <is>
          <t>FILTER</t>
        </is>
      </c>
      <c r="Q32" t="inlineStr"/>
      <c r="R32" t="inlineStr"/>
      <c r="S32" t="inlineStr"/>
    </row>
    <row r="33">
      <c r="A33" t="inlineStr">
        <is>
          <t>QA</t>
        </is>
      </c>
      <c r="B33" s="28" t="inlineStr">
        <is>
          <t>FILTER-12531</t>
        </is>
      </c>
      <c r="C33" s="20" t="inlineStr">
        <is>
          <t>Cross check Filter Application Other Remaining instances of | translate or instant</t>
        </is>
      </c>
      <c r="D33" t="inlineStr">
        <is>
          <t>FILTER-12311</t>
        </is>
      </c>
      <c r="E33" t="inlineStr">
        <is>
          <t>Story</t>
        </is>
      </c>
      <c r="F33" t="inlineStr">
        <is>
          <t>Altamash Heroli</t>
        </is>
      </c>
      <c r="G33" t="inlineStr">
        <is>
          <t>QA Verified</t>
        </is>
      </c>
      <c r="H33" t="inlineStr"/>
      <c r="I33" t="inlineStr">
        <is>
          <t>P3</t>
        </is>
      </c>
      <c r="J33" s="29" t="n">
        <v>46098</v>
      </c>
      <c r="L33" s="29" t="n">
        <v>46121</v>
      </c>
      <c r="M33" t="inlineStr">
        <is>
          <t>sprint-Fay</t>
        </is>
      </c>
      <c r="N33" s="11" t="n">
        <v>0.5</v>
      </c>
      <c r="O33" s="11" t="n">
        <v>10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QA</t>
        </is>
      </c>
      <c r="B34" s="28" t="inlineStr">
        <is>
          <t>FILTER-12599</t>
        </is>
      </c>
      <c r="C34" s="20" t="inlineStr">
        <is>
          <t>QA - FilterByPass - Malicious Application</t>
        </is>
      </c>
      <c r="D34" t="inlineStr">
        <is>
          <t>FILTER-12572</t>
        </is>
      </c>
      <c r="E34" t="inlineStr">
        <is>
          <t>Support Request</t>
        </is>
      </c>
      <c r="F34" t="inlineStr">
        <is>
          <t>Altamash Heroli</t>
        </is>
      </c>
      <c r="G34" t="inlineStr">
        <is>
          <t>Closed without action</t>
        </is>
      </c>
      <c r="H34" t="inlineStr"/>
      <c r="I34" t="inlineStr">
        <is>
          <t>P1</t>
        </is>
      </c>
      <c r="J34" s="29" t="n">
        <v>46101</v>
      </c>
      <c r="L34" s="29" t="n">
        <v>46104</v>
      </c>
      <c r="M34" t="inlineStr">
        <is>
          <t>sprint-Fay</t>
        </is>
      </c>
      <c r="N34" s="11" t="n">
        <v>0</v>
      </c>
      <c r="O34" s="11" t="n">
        <v>0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QA</t>
        </is>
      </c>
      <c r="B35" s="28" t="inlineStr">
        <is>
          <t>FILTER-12654</t>
        </is>
      </c>
      <c r="C35" s="20" t="inlineStr">
        <is>
          <t>Verify Activities report download (CSV/PDF) on Filter Console after fix</t>
        </is>
      </c>
      <c r="D35" t="inlineStr">
        <is>
          <t>FILTER-12644</t>
        </is>
      </c>
      <c r="E35" t="inlineStr">
        <is>
          <t>Escape Defect</t>
        </is>
      </c>
      <c r="F35" t="inlineStr">
        <is>
          <t>Altamash Heroli</t>
        </is>
      </c>
      <c r="G35" t="inlineStr">
        <is>
          <t>Closed without action</t>
        </is>
      </c>
      <c r="H35" t="inlineStr"/>
      <c r="I35" t="inlineStr">
        <is>
          <t>P1</t>
        </is>
      </c>
      <c r="J35" s="29" t="n">
        <v>46105</v>
      </c>
      <c r="L35" s="29" t="n">
        <v>46107</v>
      </c>
      <c r="M35" t="inlineStr">
        <is>
          <t>sprint-Fay</t>
        </is>
      </c>
      <c r="N35" s="11" t="n">
        <v>0</v>
      </c>
      <c r="O35" s="11" t="n">
        <v>0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QA</t>
        </is>
      </c>
      <c r="B36" s="28" t="inlineStr">
        <is>
          <t>FILTER-12683</t>
        </is>
      </c>
      <c r="C36" s="20" t="inlineStr">
        <is>
          <t>QA- Fix New Translation Strategy Related Issues</t>
        </is>
      </c>
      <c r="D36" t="inlineStr">
        <is>
          <t>FILTER-12681</t>
        </is>
      </c>
      <c r="E36" t="inlineStr">
        <is>
          <t>Task</t>
        </is>
      </c>
      <c r="F36" t="inlineStr">
        <is>
          <t>Altamash Heroli</t>
        </is>
      </c>
      <c r="G36" t="inlineStr">
        <is>
          <t>Done</t>
        </is>
      </c>
      <c r="H36" t="inlineStr"/>
      <c r="I36" t="inlineStr">
        <is>
          <t>P3</t>
        </is>
      </c>
      <c r="J36" s="29" t="n">
        <v>46106</v>
      </c>
      <c r="L36" s="29" t="n">
        <v>46126</v>
      </c>
      <c r="M36" t="inlineStr">
        <is>
          <t>sprint-Fay</t>
        </is>
      </c>
      <c r="N36" s="11" t="n">
        <v>5</v>
      </c>
      <c r="O36" s="11" t="n">
        <v>5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Automation</t>
        </is>
      </c>
      <c r="B37" s="28" t="inlineStr">
        <is>
          <t>FILTER-11660</t>
        </is>
      </c>
      <c r="C37" s="20" t="inlineStr">
        <is>
          <t>Create Automated Tests for FluentD Tokenization Phase 3 (UserToken)</t>
        </is>
      </c>
      <c r="D37" t="inlineStr">
        <is>
          <t>FILTER-11631</t>
        </is>
      </c>
      <c r="E37" t="inlineStr">
        <is>
          <t>Story</t>
        </is>
      </c>
      <c r="F37" t="inlineStr">
        <is>
          <t>Amit Shete</t>
        </is>
      </c>
      <c r="G37" t="inlineStr">
        <is>
          <t>Done</t>
        </is>
      </c>
      <c r="H37" t="inlineStr"/>
      <c r="I37" t="inlineStr">
        <is>
          <t>P3</t>
        </is>
      </c>
      <c r="J37" s="29" t="n">
        <v>46037</v>
      </c>
      <c r="L37" s="29" t="n">
        <v>46126</v>
      </c>
      <c r="M37" t="inlineStr">
        <is>
          <t>sprint-Fay</t>
        </is>
      </c>
      <c r="N37" s="11" t="n">
        <v>6</v>
      </c>
      <c r="O37" s="11" t="n">
        <v>6</v>
      </c>
      <c r="P37" t="inlineStr">
        <is>
          <t>FILTER</t>
        </is>
      </c>
      <c r="Q37" t="inlineStr">
        <is>
          <t>Capitalized-Feature</t>
        </is>
      </c>
      <c r="R37" t="inlineStr"/>
      <c r="S37" t="inlineStr"/>
    </row>
    <row r="38">
      <c r="A38" t="inlineStr">
        <is>
          <t>Automation</t>
        </is>
      </c>
      <c r="B38" s="28" t="inlineStr">
        <is>
          <t>FILTER-11845</t>
        </is>
      </c>
      <c r="C38" s="20" t="inlineStr">
        <is>
          <t>Add test cases for SafetyConsole CustomList API token invalidation</t>
        </is>
      </c>
      <c r="D38" t="inlineStr">
        <is>
          <t>FILTER-11687</t>
        </is>
      </c>
      <c r="E38" t="inlineStr">
        <is>
          <t>Defect</t>
        </is>
      </c>
      <c r="F38" t="inlineStr">
        <is>
          <t>Amit Shete</t>
        </is>
      </c>
      <c r="G38" t="inlineStr">
        <is>
          <t>Done</t>
        </is>
      </c>
      <c r="H38" t="inlineStr"/>
      <c r="I38" t="inlineStr">
        <is>
          <t>P2</t>
        </is>
      </c>
      <c r="J38" s="29" t="n">
        <v>46051</v>
      </c>
      <c r="L38" s="29" t="n">
        <v>46126</v>
      </c>
      <c r="M38" t="inlineStr">
        <is>
          <t>sprint-Fay</t>
        </is>
      </c>
      <c r="N38" s="11" t="n">
        <v>4</v>
      </c>
      <c r="O38" s="11" t="n">
        <v>4</v>
      </c>
      <c r="P38" t="inlineStr">
        <is>
          <t>FILTER</t>
        </is>
      </c>
      <c r="Q38" t="inlineStr"/>
      <c r="R38" t="inlineStr"/>
      <c r="S38" t="inlineStr"/>
    </row>
    <row r="39">
      <c r="A39" t="inlineStr">
        <is>
          <t>Automation</t>
        </is>
      </c>
      <c r="B39" s="28" t="inlineStr">
        <is>
          <t>FILTER-11975</t>
        </is>
      </c>
      <c r="C39" s="20" t="inlineStr">
        <is>
          <t>Run all automated Image Blur test cases and confirm results to support  release readiness decision for the new NSFW model (MobileNetV2).</t>
        </is>
      </c>
      <c r="D39" t="inlineStr">
        <is>
          <t>FILTER-11974</t>
        </is>
      </c>
      <c r="E39" t="inlineStr">
        <is>
          <t>Story</t>
        </is>
      </c>
      <c r="F39" t="inlineStr">
        <is>
          <t>Amit Shete</t>
        </is>
      </c>
      <c r="G39" t="inlineStr">
        <is>
          <t>Done</t>
        </is>
      </c>
      <c r="H39" t="inlineStr"/>
      <c r="I39" t="inlineStr">
        <is>
          <t>P2</t>
        </is>
      </c>
      <c r="J39" s="29" t="n">
        <v>46058</v>
      </c>
      <c r="L39" s="29" t="n">
        <v>46083</v>
      </c>
      <c r="M39" t="inlineStr">
        <is>
          <t>sprint-Fay</t>
        </is>
      </c>
      <c r="N39" s="11" t="n">
        <v>2</v>
      </c>
      <c r="O39" s="11" t="n">
        <v>3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Automation</t>
        </is>
      </c>
      <c r="B40" s="28" t="inlineStr">
        <is>
          <t>FILTER-12023</t>
        </is>
      </c>
      <c r="C40" s="20" t="inlineStr">
        <is>
          <t>Re-run and validate Delegated Admin Custom List tests after JWT role fix</t>
        </is>
      </c>
      <c r="D40" t="inlineStr">
        <is>
          <t>FILTER-12018</t>
        </is>
      </c>
      <c r="E40" t="inlineStr">
        <is>
          <t>Task</t>
        </is>
      </c>
      <c r="F40" t="inlineStr">
        <is>
          <t>Amit Shete</t>
        </is>
      </c>
      <c r="G40" t="inlineStr">
        <is>
          <t>Done</t>
        </is>
      </c>
      <c r="H40" t="inlineStr"/>
      <c r="I40" t="inlineStr">
        <is>
          <t>P3</t>
        </is>
      </c>
      <c r="J40" s="29" t="n">
        <v>46064</v>
      </c>
      <c r="L40" s="29" t="n">
        <v>46099</v>
      </c>
      <c r="M40" t="inlineStr">
        <is>
          <t>sprint-Fay</t>
        </is>
      </c>
      <c r="N40" s="11" t="n">
        <v>1</v>
      </c>
      <c r="O40" s="11" t="n">
        <v>1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Automation</t>
        </is>
      </c>
      <c r="B41" s="28" t="inlineStr">
        <is>
          <t>FILTER-12167</t>
        </is>
      </c>
      <c r="C41" s="20" t="inlineStr">
        <is>
          <t>Sandbox bypass prevention – iframe/CDN block (W3Schools-style)</t>
        </is>
      </c>
      <c r="D41" t="inlineStr">
        <is>
          <t>FILTER-12093</t>
        </is>
      </c>
      <c r="E41" t="inlineStr">
        <is>
          <t>Escape Defect</t>
        </is>
      </c>
      <c r="F41" t="inlineStr">
        <is>
          <t>Amit Shete</t>
        </is>
      </c>
      <c r="G41" t="inlineStr">
        <is>
          <t>Closed without action</t>
        </is>
      </c>
      <c r="H41" t="inlineStr"/>
      <c r="I41" t="inlineStr">
        <is>
          <t>P1</t>
        </is>
      </c>
      <c r="J41" s="29" t="n">
        <v>46077</v>
      </c>
      <c r="L41" s="29" t="n">
        <v>46118</v>
      </c>
      <c r="M41" t="inlineStr">
        <is>
          <t>sprint-Fay</t>
        </is>
      </c>
      <c r="N41" s="11" t="n">
        <v>0</v>
      </c>
      <c r="O41" s="11" t="n">
        <v>5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Automation</t>
        </is>
      </c>
      <c r="B42" s="28" t="inlineStr">
        <is>
          <t>FILTER-12340</t>
        </is>
      </c>
      <c r="C42" s="20" t="inlineStr">
        <is>
          <t>Scripting for “deactivated GAC user not in extension logs” verification</t>
        </is>
      </c>
      <c r="D42" t="inlineStr">
        <is>
          <t>FILTER-12300</t>
        </is>
      </c>
      <c r="E42" t="inlineStr">
        <is>
          <t>Escape Defect</t>
        </is>
      </c>
      <c r="F42" t="inlineStr">
        <is>
          <t>Amit Shete</t>
        </is>
      </c>
      <c r="G42" t="inlineStr">
        <is>
          <t>Closed without action</t>
        </is>
      </c>
      <c r="H42" t="inlineStr"/>
      <c r="I42" t="inlineStr">
        <is>
          <t>P2</t>
        </is>
      </c>
      <c r="J42" s="29" t="n">
        <v>46084</v>
      </c>
      <c r="L42" s="29" t="n">
        <v>46104</v>
      </c>
      <c r="M42" t="inlineStr">
        <is>
          <t>sprint-Fay</t>
        </is>
      </c>
      <c r="N42" s="11" t="n">
        <v>0</v>
      </c>
      <c r="O42" s="11" t="n">
        <v>0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Automation</t>
        </is>
      </c>
      <c r="B43" s="28" t="inlineStr">
        <is>
          <t>FILTER-12351</t>
        </is>
      </c>
      <c r="C43" s="20" t="inlineStr">
        <is>
          <t>Scripting for Support Tool FID search and display (all FIDs, no-domain included)</t>
        </is>
      </c>
      <c r="D43" t="inlineStr">
        <is>
          <t>FILTER-5401</t>
        </is>
      </c>
      <c r="E43" t="inlineStr">
        <is>
          <t>Task</t>
        </is>
      </c>
      <c r="F43" t="inlineStr">
        <is>
          <t>Amit Shete</t>
        </is>
      </c>
      <c r="G43" t="inlineStr">
        <is>
          <t>Done</t>
        </is>
      </c>
      <c r="H43" t="inlineStr"/>
      <c r="I43" t="inlineStr">
        <is>
          <t>P3</t>
        </is>
      </c>
      <c r="J43" s="29" t="n">
        <v>46084</v>
      </c>
      <c r="L43" s="29" t="n">
        <v>46112</v>
      </c>
      <c r="M43" t="inlineStr">
        <is>
          <t>sprint-Fay</t>
        </is>
      </c>
      <c r="N43" s="11" t="n">
        <v>4</v>
      </c>
      <c r="O43" s="11" t="n">
        <v>5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Automation</t>
        </is>
      </c>
      <c r="B44" s="28" t="inlineStr">
        <is>
          <t>FILTER-12354</t>
        </is>
      </c>
      <c r="C44" s="20" t="inlineStr">
        <is>
          <t>Scripting for Support Tool search including FIDs with no domain/sub-domain</t>
        </is>
      </c>
      <c r="D44" t="inlineStr">
        <is>
          <t>FILTER-5679</t>
        </is>
      </c>
      <c r="E44" t="inlineStr">
        <is>
          <t>Task</t>
        </is>
      </c>
      <c r="F44" t="inlineStr">
        <is>
          <t>Amit Shete</t>
        </is>
      </c>
      <c r="G44" t="inlineStr">
        <is>
          <t>Closed without action</t>
        </is>
      </c>
      <c r="H44" t="inlineStr"/>
      <c r="I44" t="inlineStr">
        <is>
          <t>P3</t>
        </is>
      </c>
      <c r="J44" s="29" t="n">
        <v>46084</v>
      </c>
      <c r="L44" s="29" t="n">
        <v>46112</v>
      </c>
      <c r="M44" t="inlineStr">
        <is>
          <t>sprint-Fay</t>
        </is>
      </c>
      <c r="N44" s="11" t="n">
        <v>0</v>
      </c>
      <c r="O44" s="11" t="n">
        <v>0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Automation</t>
        </is>
      </c>
      <c r="B45" s="28" t="inlineStr">
        <is>
          <t>FILTER-12434</t>
        </is>
      </c>
      <c r="C45" s="20" t="inlineStr">
        <is>
          <t>QA- CLONE - Helping classroom team for PR review and Technical discussions</t>
        </is>
      </c>
      <c r="D45" t="inlineStr">
        <is>
          <t>FILTER-12431</t>
        </is>
      </c>
      <c r="E45" t="inlineStr">
        <is>
          <t>Task</t>
        </is>
      </c>
      <c r="F45" t="inlineStr">
        <is>
          <t>Amit Shete</t>
        </is>
      </c>
      <c r="G45" t="inlineStr">
        <is>
          <t>Closed without action</t>
        </is>
      </c>
      <c r="H45" t="inlineStr"/>
      <c r="I45" t="inlineStr">
        <is>
          <t>P3</t>
        </is>
      </c>
      <c r="J45" s="29" t="n">
        <v>46093</v>
      </c>
      <c r="L45" s="29" t="n">
        <v>46099</v>
      </c>
      <c r="M45" t="inlineStr">
        <is>
          <t>sprint-Fay</t>
        </is>
      </c>
      <c r="N45" s="11" t="n">
        <v>0</v>
      </c>
      <c r="O45" s="11" t="n">
        <v>0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Automation</t>
        </is>
      </c>
      <c r="B46" s="28" t="inlineStr">
        <is>
          <t>FILTER-12438</t>
        </is>
      </c>
      <c r="C46" s="20" t="inlineStr">
        <is>
          <t>QA- CLONE - Helping Home Team for the overall architecture of Parent Portal design Revamp and and AI Chat for their dashobard requirement</t>
        </is>
      </c>
      <c r="D46" t="inlineStr">
        <is>
          <t>FILTER-12435</t>
        </is>
      </c>
      <c r="E46" t="inlineStr">
        <is>
          <t>Task</t>
        </is>
      </c>
      <c r="F46" t="inlineStr">
        <is>
          <t>Amit Shete</t>
        </is>
      </c>
      <c r="G46" t="inlineStr">
        <is>
          <t>Closed without action</t>
        </is>
      </c>
      <c r="H46" t="inlineStr"/>
      <c r="I46" t="inlineStr">
        <is>
          <t>P3</t>
        </is>
      </c>
      <c r="J46" s="29" t="n">
        <v>46093</v>
      </c>
      <c r="L46" s="29" t="n">
        <v>46099</v>
      </c>
      <c r="M46" t="inlineStr">
        <is>
          <t>sprint-Fay</t>
        </is>
      </c>
      <c r="N46" s="11" t="n">
        <v>0</v>
      </c>
      <c r="O46" s="11" t="n">
        <v>0</v>
      </c>
      <c r="P46" t="inlineStr">
        <is>
          <t>FILTER</t>
        </is>
      </c>
      <c r="Q46" t="inlineStr"/>
      <c r="R46" t="inlineStr"/>
      <c r="S46" t="inlineStr"/>
    </row>
    <row r="47">
      <c r="A47" t="inlineStr">
        <is>
          <t>Automation</t>
        </is>
      </c>
      <c r="B47" s="28" t="inlineStr">
        <is>
          <t>FILTER-12484</t>
        </is>
      </c>
      <c r="C47" s="20" t="inlineStr">
        <is>
          <t>QA- etld.securly.com.surf.surfnet.ca is not blocking for extension filtering</t>
        </is>
      </c>
      <c r="D47" t="inlineStr">
        <is>
          <t>FILTER-12481</t>
        </is>
      </c>
      <c r="E47" t="inlineStr">
        <is>
          <t>Escape Defect</t>
        </is>
      </c>
      <c r="F47" t="inlineStr">
        <is>
          <t>Amit Shete</t>
        </is>
      </c>
      <c r="G47" t="inlineStr">
        <is>
          <t>Closed without action</t>
        </is>
      </c>
      <c r="H47" t="inlineStr"/>
      <c r="I47" t="inlineStr">
        <is>
          <t>P2</t>
        </is>
      </c>
      <c r="J47" s="29" t="n">
        <v>46094</v>
      </c>
      <c r="L47" s="29" t="n">
        <v>46111</v>
      </c>
      <c r="M47" t="inlineStr">
        <is>
          <t>sprint-Fay</t>
        </is>
      </c>
      <c r="N47" s="11" t="n">
        <v>0</v>
      </c>
      <c r="O47" s="11" t="n">
        <v>0</v>
      </c>
      <c r="P47" t="inlineStr">
        <is>
          <t>FILTER</t>
        </is>
      </c>
      <c r="Q47" t="inlineStr"/>
      <c r="R47" t="inlineStr"/>
      <c r="S47" t="inlineStr"/>
    </row>
    <row r="48">
      <c r="A48" t="inlineStr">
        <is>
          <t>Automation</t>
        </is>
      </c>
      <c r="B48" s="28" t="inlineStr">
        <is>
          <t>FILTER-12600</t>
        </is>
      </c>
      <c r="C48" s="20" t="inlineStr">
        <is>
          <t>Automation - FilterByPass - Malicious Application</t>
        </is>
      </c>
      <c r="D48" t="inlineStr">
        <is>
          <t>FILTER-12572</t>
        </is>
      </c>
      <c r="E48" t="inlineStr">
        <is>
          <t>Support Request</t>
        </is>
      </c>
      <c r="F48" t="inlineStr">
        <is>
          <t>Amit Shete</t>
        </is>
      </c>
      <c r="G48" t="inlineStr">
        <is>
          <t>Closed without action</t>
        </is>
      </c>
      <c r="H48" t="inlineStr"/>
      <c r="I48" t="inlineStr">
        <is>
          <t>P1</t>
        </is>
      </c>
      <c r="J48" s="29" t="n">
        <v>46101</v>
      </c>
      <c r="L48" s="29" t="n">
        <v>46104</v>
      </c>
      <c r="M48" t="inlineStr">
        <is>
          <t>sprint-Fay</t>
        </is>
      </c>
      <c r="N48" s="11" t="n">
        <v>0</v>
      </c>
      <c r="O48" s="11" t="n">
        <v>0</v>
      </c>
      <c r="P48" t="inlineStr">
        <is>
          <t>FILTER</t>
        </is>
      </c>
      <c r="Q48" t="inlineStr"/>
      <c r="R48" t="inlineStr"/>
      <c r="S48" t="inlineStr"/>
    </row>
    <row r="49">
      <c r="A49" t="inlineStr">
        <is>
          <t>Automation</t>
        </is>
      </c>
      <c r="B49" s="28" t="inlineStr">
        <is>
          <t>FILTER-12605</t>
        </is>
      </c>
      <c r="C49" s="20" t="inlineStr">
        <is>
          <t xml:space="preserve">QA- (Intermediate issue): Google domains added to allow/block list during simultaneous CSV uploads across policies </t>
        </is>
      </c>
      <c r="D49" t="inlineStr">
        <is>
          <t>FILTER-12602</t>
        </is>
      </c>
      <c r="E49" t="inlineStr">
        <is>
          <t>Defect</t>
        </is>
      </c>
      <c r="F49" t="inlineStr">
        <is>
          <t>Amit Shete</t>
        </is>
      </c>
      <c r="G49" t="inlineStr">
        <is>
          <t>Closed without action</t>
        </is>
      </c>
      <c r="H49" t="inlineStr"/>
      <c r="I49" t="inlineStr">
        <is>
          <t>P2</t>
        </is>
      </c>
      <c r="J49" s="29" t="n">
        <v>46101</v>
      </c>
      <c r="L49" s="29" t="n">
        <v>46104</v>
      </c>
      <c r="M49" t="inlineStr">
        <is>
          <t>sprint-Fay</t>
        </is>
      </c>
      <c r="N49" s="11" t="n">
        <v>0</v>
      </c>
      <c r="O49" s="11" t="n">
        <v>0</v>
      </c>
      <c r="P49" t="inlineStr">
        <is>
          <t>FILTER</t>
        </is>
      </c>
      <c r="Q49" t="inlineStr"/>
      <c r="R49" t="inlineStr"/>
      <c r="S49" t="inlineStr"/>
    </row>
    <row r="50">
      <c r="A50" t="inlineStr">
        <is>
          <t>Automation</t>
        </is>
      </c>
      <c r="B50" s="28" t="inlineStr">
        <is>
          <t>FILTER-12609</t>
        </is>
      </c>
      <c r="C50" s="20" t="inlineStr">
        <is>
          <t>QA- Restricted Google domain can be added when DNS Allow List toggle is OFF</t>
        </is>
      </c>
      <c r="D50" t="inlineStr">
        <is>
          <t>FILTER-12606</t>
        </is>
      </c>
      <c r="E50" t="inlineStr">
        <is>
          <t>Defect</t>
        </is>
      </c>
      <c r="F50" t="inlineStr">
        <is>
          <t>Amit Shete</t>
        </is>
      </c>
      <c r="G50" t="inlineStr">
        <is>
          <t>Closed without action</t>
        </is>
      </c>
      <c r="H50" t="inlineStr"/>
      <c r="I50" t="inlineStr">
        <is>
          <t>P2</t>
        </is>
      </c>
      <c r="J50" s="29" t="n">
        <v>46101</v>
      </c>
      <c r="L50" s="29" t="n">
        <v>46104</v>
      </c>
      <c r="M50" t="inlineStr">
        <is>
          <t>sprint-Fay</t>
        </is>
      </c>
      <c r="N50" s="11" t="n">
        <v>0</v>
      </c>
      <c r="O50" s="11" t="n">
        <v>0</v>
      </c>
      <c r="P50" t="inlineStr">
        <is>
          <t>FILTER</t>
        </is>
      </c>
      <c r="Q50" t="inlineStr"/>
      <c r="R50" t="inlineStr"/>
      <c r="S50" t="inlineStr"/>
    </row>
    <row r="51">
      <c r="A51" t="inlineStr">
        <is>
          <t>Automation</t>
        </is>
      </c>
      <c r="B51" s="28" t="inlineStr">
        <is>
          <t>FILTER-12655</t>
        </is>
      </c>
      <c r="C51" s="20" t="inlineStr">
        <is>
          <t>Cover Activities report download (CSV/PDF) on Filter Console</t>
        </is>
      </c>
      <c r="D51" t="inlineStr">
        <is>
          <t>FILTER-12644</t>
        </is>
      </c>
      <c r="E51" t="inlineStr">
        <is>
          <t>Escape Defect</t>
        </is>
      </c>
      <c r="F51" t="inlineStr">
        <is>
          <t>Amit Shete</t>
        </is>
      </c>
      <c r="G51" t="inlineStr">
        <is>
          <t>Closed without action</t>
        </is>
      </c>
      <c r="H51" t="inlineStr"/>
      <c r="I51" t="inlineStr">
        <is>
          <t>P1</t>
        </is>
      </c>
      <c r="J51" s="29" t="n">
        <v>46105</v>
      </c>
      <c r="L51" s="29" t="n">
        <v>46107</v>
      </c>
      <c r="M51" t="inlineStr">
        <is>
          <t>sprint-Fay</t>
        </is>
      </c>
      <c r="N51" s="11" t="n">
        <v>0</v>
      </c>
      <c r="O51" s="11" t="n">
        <v>0</v>
      </c>
      <c r="P51" t="inlineStr">
        <is>
          <t>FILTER</t>
        </is>
      </c>
      <c r="Q51" t="inlineStr"/>
      <c r="R51" t="inlineStr"/>
      <c r="S51" t="inlineStr"/>
    </row>
    <row r="52">
      <c r="A52" t="inlineStr">
        <is>
          <t>Automation</t>
        </is>
      </c>
      <c r="B52" s="28" t="inlineStr">
        <is>
          <t>FILTER-12680</t>
        </is>
      </c>
      <c r="C52" s="20" t="inlineStr">
        <is>
          <t>QA- Update if condition for scru cookie</t>
        </is>
      </c>
      <c r="D52" t="inlineStr">
        <is>
          <t>FILTER-12677</t>
        </is>
      </c>
      <c r="E52" t="inlineStr">
        <is>
          <t>Task</t>
        </is>
      </c>
      <c r="F52" t="inlineStr">
        <is>
          <t>Amit Shete</t>
        </is>
      </c>
      <c r="G52" t="inlineStr">
        <is>
          <t>Closed without action</t>
        </is>
      </c>
      <c r="H52" t="inlineStr"/>
      <c r="I52" t="inlineStr">
        <is>
          <t>P3</t>
        </is>
      </c>
      <c r="J52" s="29" t="n">
        <v>46106</v>
      </c>
      <c r="L52" s="29" t="n">
        <v>46107</v>
      </c>
      <c r="M52" t="inlineStr">
        <is>
          <t>sprint-Fay</t>
        </is>
      </c>
      <c r="N52" s="11" t="n">
        <v>0</v>
      </c>
      <c r="O52" s="11" t="n">
        <v>0</v>
      </c>
      <c r="P52" t="inlineStr">
        <is>
          <t>FILTER</t>
        </is>
      </c>
      <c r="Q52" t="inlineStr"/>
      <c r="R52" t="inlineStr"/>
      <c r="S52" t="inlineStr"/>
    </row>
    <row r="53">
      <c r="A53" t="inlineStr">
        <is>
          <t>Automation</t>
        </is>
      </c>
      <c r="B53" s="28" t="inlineStr">
        <is>
          <t>FILTER-12684</t>
        </is>
      </c>
      <c r="C53" s="20" t="inlineStr">
        <is>
          <t>QA- Fix New Translation Strategy Related Issues</t>
        </is>
      </c>
      <c r="D53" t="inlineStr">
        <is>
          <t>FILTER-12681</t>
        </is>
      </c>
      <c r="E53" t="inlineStr">
        <is>
          <t>Task</t>
        </is>
      </c>
      <c r="F53" t="inlineStr">
        <is>
          <t>Amit Shete</t>
        </is>
      </c>
      <c r="G53" t="inlineStr">
        <is>
          <t>Closed without action</t>
        </is>
      </c>
      <c r="H53" t="inlineStr"/>
      <c r="I53" t="inlineStr">
        <is>
          <t>P3</t>
        </is>
      </c>
      <c r="J53" s="29" t="n">
        <v>46106</v>
      </c>
      <c r="L53" s="29" t="n">
        <v>46111</v>
      </c>
      <c r="M53" t="inlineStr">
        <is>
          <t>sprint-Fay</t>
        </is>
      </c>
      <c r="N53" s="11" t="n">
        <v>0</v>
      </c>
      <c r="O53" s="11" t="n">
        <v>0</v>
      </c>
      <c r="P53" t="inlineStr">
        <is>
          <t>FILTER</t>
        </is>
      </c>
      <c r="Q53" t="inlineStr"/>
      <c r="R53" t="inlineStr"/>
      <c r="S53" t="inlineStr"/>
    </row>
    <row r="54">
      <c r="A54" t="inlineStr">
        <is>
          <t>Automation</t>
        </is>
      </c>
      <c r="B54" s="28" t="inlineStr">
        <is>
          <t>FILTER-12696</t>
        </is>
      </c>
      <c r="C54" s="20" t="inlineStr">
        <is>
          <t>QA- Removed NSFW image blur feature code and related files from the securly-extensions repository</t>
        </is>
      </c>
      <c r="D54" t="inlineStr">
        <is>
          <t>FILTER-12693</t>
        </is>
      </c>
      <c r="E54" t="inlineStr">
        <is>
          <t>Task</t>
        </is>
      </c>
      <c r="F54" t="inlineStr">
        <is>
          <t>Amit Shete</t>
        </is>
      </c>
      <c r="G54" t="inlineStr">
        <is>
          <t>Closed without action</t>
        </is>
      </c>
      <c r="H54" t="inlineStr"/>
      <c r="I54" t="inlineStr">
        <is>
          <t>P3</t>
        </is>
      </c>
      <c r="J54" s="29" t="n">
        <v>46107</v>
      </c>
      <c r="L54" s="29" t="n">
        <v>46107</v>
      </c>
      <c r="M54" t="inlineStr">
        <is>
          <t>sprint-Fay</t>
        </is>
      </c>
      <c r="N54" s="11" t="n">
        <v>0</v>
      </c>
      <c r="O54" s="11" t="n">
        <v>0</v>
      </c>
      <c r="P54" t="inlineStr">
        <is>
          <t>FILTER</t>
        </is>
      </c>
      <c r="Q54" t="inlineStr"/>
      <c r="R54" t="inlineStr"/>
      <c r="S54" t="inlineStr"/>
    </row>
    <row r="55">
      <c r="A55" t="inlineStr">
        <is>
          <t>Automation</t>
        </is>
      </c>
      <c r="B55" s="28" t="inlineStr">
        <is>
          <t>FILTER-12700</t>
        </is>
      </c>
      <c r="C55" s="20" t="inlineStr">
        <is>
          <t>QA- Investigate and fix case generation for On-Call demo data</t>
        </is>
      </c>
      <c r="D55" t="inlineStr">
        <is>
          <t>FILTER-12697</t>
        </is>
      </c>
      <c r="E55" t="inlineStr">
        <is>
          <t>Task</t>
        </is>
      </c>
      <c r="F55" t="inlineStr">
        <is>
          <t>Amit Shete</t>
        </is>
      </c>
      <c r="G55" t="inlineStr">
        <is>
          <t>Closed without action</t>
        </is>
      </c>
      <c r="H55" t="inlineStr"/>
      <c r="I55" t="inlineStr">
        <is>
          <t>P3</t>
        </is>
      </c>
      <c r="J55" s="29" t="n">
        <v>46107</v>
      </c>
      <c r="L55" s="29" t="n">
        <v>46107</v>
      </c>
      <c r="M55" t="inlineStr">
        <is>
          <t>sprint-Fay</t>
        </is>
      </c>
      <c r="N55" s="11" t="n">
        <v>0</v>
      </c>
      <c r="O55" s="11" t="n">
        <v>0</v>
      </c>
      <c r="P55" t="inlineStr">
        <is>
          <t>FILTER</t>
        </is>
      </c>
      <c r="Q55" t="inlineStr"/>
      <c r="R55" t="inlineStr"/>
      <c r="S55" t="inlineStr"/>
    </row>
    <row r="56">
      <c r="A56" t="inlineStr">
        <is>
          <t>Automation</t>
        </is>
      </c>
      <c r="B56" s="28" t="inlineStr">
        <is>
          <t>FILTER-12799</t>
        </is>
      </c>
      <c r="C56" s="20" t="inlineStr">
        <is>
          <t>QA- Update Cron Job for tokenization</t>
        </is>
      </c>
      <c r="D56" t="inlineStr">
        <is>
          <t>FILTER-12796</t>
        </is>
      </c>
      <c r="E56" t="inlineStr">
        <is>
          <t>Task</t>
        </is>
      </c>
      <c r="F56" t="inlineStr">
        <is>
          <t>Amit Shete</t>
        </is>
      </c>
      <c r="G56" t="inlineStr">
        <is>
          <t>Closed without action</t>
        </is>
      </c>
      <c r="H56" t="inlineStr"/>
      <c r="I56" t="inlineStr">
        <is>
          <t>P3</t>
        </is>
      </c>
      <c r="J56" s="29" t="n">
        <v>46108</v>
      </c>
      <c r="L56" s="29" t="n">
        <v>46140</v>
      </c>
      <c r="M56" t="inlineStr">
        <is>
          <t>sprint-Fay</t>
        </is>
      </c>
      <c r="N56" s="11" t="n">
        <v>0</v>
      </c>
      <c r="O56" s="11" t="n">
        <v>0</v>
      </c>
      <c r="P56" t="inlineStr">
        <is>
          <t>FILTER</t>
        </is>
      </c>
      <c r="Q56" t="inlineStr"/>
      <c r="R56" t="inlineStr"/>
      <c r="S56" t="inlineStr"/>
    </row>
    <row r="57">
      <c r="A57" t="inlineStr">
        <is>
          <t>Automation</t>
        </is>
      </c>
      <c r="B57" s="28" t="inlineStr">
        <is>
          <t>FILTER-11568</t>
        </is>
      </c>
      <c r="C57" s="20" t="inlineStr">
        <is>
          <t>Validate Categorization Parity (SmartPAC vs Extension)</t>
        </is>
      </c>
      <c r="D57" t="inlineStr">
        <is>
          <t>FILTER-11539</t>
        </is>
      </c>
      <c r="E57" t="inlineStr">
        <is>
          <t>Escape Defect</t>
        </is>
      </c>
      <c r="F57" t="inlineStr">
        <is>
          <t>Amol Mithari</t>
        </is>
      </c>
      <c r="G57" t="inlineStr">
        <is>
          <t>Done</t>
        </is>
      </c>
      <c r="H57" t="inlineStr"/>
      <c r="I57" t="inlineStr">
        <is>
          <t>P2</t>
        </is>
      </c>
      <c r="J57" s="29" t="n">
        <v>46024</v>
      </c>
      <c r="L57" s="29" t="n">
        <v>46107</v>
      </c>
      <c r="M57" t="inlineStr">
        <is>
          <t>sprint-Fay</t>
        </is>
      </c>
      <c r="N57" s="11" t="n">
        <v>2.5</v>
      </c>
      <c r="O57" s="11" t="n">
        <v>4</v>
      </c>
      <c r="P57" t="inlineStr">
        <is>
          <t>FILTER</t>
        </is>
      </c>
      <c r="Q57" t="inlineStr"/>
      <c r="R57" t="inlineStr"/>
      <c r="S57" t="inlineStr"/>
    </row>
    <row r="58">
      <c r="A58" t="inlineStr">
        <is>
          <t>Automation</t>
        </is>
      </c>
      <c r="B58" s="28" t="inlineStr">
        <is>
          <t>FILTER-12006</t>
        </is>
      </c>
      <c r="C58" s="20" t="inlineStr">
        <is>
          <t>[PageScan] QA – Verify blocking of twitter.gmsgroup.app for UK school (FID: securly@shaw-education.org.uk)</t>
        </is>
      </c>
      <c r="D58" t="inlineStr">
        <is>
          <t>FILTER-12004</t>
        </is>
      </c>
      <c r="E58" t="inlineStr">
        <is>
          <t>Task</t>
        </is>
      </c>
      <c r="F58" t="inlineStr">
        <is>
          <t>Amol Mithari</t>
        </is>
      </c>
      <c r="G58" t="inlineStr">
        <is>
          <t>Done</t>
        </is>
      </c>
      <c r="H58" t="inlineStr"/>
      <c r="I58" t="inlineStr">
        <is>
          <t>P2</t>
        </is>
      </c>
      <c r="J58" s="29" t="n">
        <v>46063</v>
      </c>
      <c r="L58" s="29" t="n">
        <v>46107</v>
      </c>
      <c r="M58" t="inlineStr">
        <is>
          <t>sprint-Fay</t>
        </is>
      </c>
      <c r="N58" s="11" t="n">
        <v>1.5</v>
      </c>
      <c r="O58" s="11" t="n">
        <v>2</v>
      </c>
      <c r="P58" t="inlineStr">
        <is>
          <t>FILTER</t>
        </is>
      </c>
      <c r="Q58" t="inlineStr"/>
      <c r="R58" t="inlineStr"/>
      <c r="S58" t="inlineStr"/>
    </row>
    <row r="59">
      <c r="A59" t="inlineStr">
        <is>
          <t>Automation</t>
        </is>
      </c>
      <c r="B59" s="28" t="inlineStr">
        <is>
          <t>FILTER-12458</t>
        </is>
      </c>
      <c r="C59" s="20" t="inlineStr">
        <is>
          <t>QA- Filter bypass by taping on a link from Google Search - Crxtn</t>
        </is>
      </c>
      <c r="D59" t="inlineStr">
        <is>
          <t>FILTER-12455</t>
        </is>
      </c>
      <c r="E59" t="inlineStr">
        <is>
          <t>Escape Defect</t>
        </is>
      </c>
      <c r="F59" t="inlineStr">
        <is>
          <t>Amol Mithari</t>
        </is>
      </c>
      <c r="G59" t="inlineStr">
        <is>
          <t>Closed without action</t>
        </is>
      </c>
      <c r="H59" t="inlineStr"/>
      <c r="I59" t="inlineStr">
        <is>
          <t>P1</t>
        </is>
      </c>
      <c r="J59" s="29" t="n">
        <v>46093</v>
      </c>
      <c r="L59" s="29" t="n">
        <v>46126</v>
      </c>
      <c r="M59" t="inlineStr">
        <is>
          <t>sprint-Fay</t>
        </is>
      </c>
      <c r="N59" s="11" t="n">
        <v>0</v>
      </c>
      <c r="O59" s="11" t="n">
        <v>3</v>
      </c>
      <c r="P59" t="inlineStr">
        <is>
          <t>FILTER</t>
        </is>
      </c>
      <c r="Q59" t="inlineStr"/>
      <c r="R59" t="inlineStr"/>
      <c r="S59" t="inlineStr"/>
    </row>
    <row r="60">
      <c r="A60" t="inlineStr">
        <is>
          <t>Dev</t>
        </is>
      </c>
      <c r="B60" s="28" t="inlineStr">
        <is>
          <t>FILTER-12140</t>
        </is>
      </c>
      <c r="C60" s="20" t="inlineStr">
        <is>
          <t>DEV - JS Extn (Chromebook) : Debug Info Not Displayed for Certain Domain Images When Opened Directly (setNSFWDebugAllTabs(true))</t>
        </is>
      </c>
      <c r="D60" t="inlineStr">
        <is>
          <t>FILTER-12139</t>
        </is>
      </c>
      <c r="E60" t="inlineStr">
        <is>
          <t>Defect</t>
        </is>
      </c>
      <c r="F60" t="inlineStr">
        <is>
          <t>Arun Thakur</t>
        </is>
      </c>
      <c r="G60" t="inlineStr">
        <is>
          <t>Done</t>
        </is>
      </c>
      <c r="H60" t="inlineStr"/>
      <c r="I60" t="inlineStr">
        <is>
          <t>P3</t>
        </is>
      </c>
      <c r="J60" s="29" t="n">
        <v>46076</v>
      </c>
      <c r="L60" s="29" t="n">
        <v>46105</v>
      </c>
      <c r="M60" t="inlineStr">
        <is>
          <t>sprint-Fay</t>
        </is>
      </c>
      <c r="N60" s="11" t="n">
        <v>10</v>
      </c>
      <c r="O60" s="11" t="n">
        <v>12</v>
      </c>
      <c r="P60" t="inlineStr">
        <is>
          <t>FILTER</t>
        </is>
      </c>
      <c r="Q60" t="inlineStr"/>
      <c r="R60" t="inlineStr"/>
      <c r="S60" t="inlineStr"/>
    </row>
    <row r="61">
      <c r="A61" t="inlineStr">
        <is>
          <t>Dev</t>
        </is>
      </c>
      <c r="B61" s="28" t="inlineStr">
        <is>
          <t>FILTER-12229</t>
        </is>
      </c>
      <c r="C61" s="20" t="inlineStr">
        <is>
          <t>DEV - JS (All Extensions): Youtube.YT logo on YT page, YT search page, YT video page and YT shorts is not clickable</t>
        </is>
      </c>
      <c r="D61" t="inlineStr">
        <is>
          <t>FILTER-12228</t>
        </is>
      </c>
      <c r="E61" t="inlineStr">
        <is>
          <t>Defect</t>
        </is>
      </c>
      <c r="F61" t="inlineStr">
        <is>
          <t>Arun Thakur</t>
        </is>
      </c>
      <c r="G61" t="inlineStr">
        <is>
          <t>Closed without action</t>
        </is>
      </c>
      <c r="H61" t="inlineStr"/>
      <c r="I61" t="inlineStr">
        <is>
          <t>P1</t>
        </is>
      </c>
      <c r="J61" s="29" t="n">
        <v>46078</v>
      </c>
      <c r="L61" s="29" t="n">
        <v>46127</v>
      </c>
      <c r="M61" t="inlineStr">
        <is>
          <t>sprint-Fay</t>
        </is>
      </c>
      <c r="N61" s="11" t="n">
        <v>0</v>
      </c>
      <c r="O61" s="11" t="n">
        <v>0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Dev</t>
        </is>
      </c>
      <c r="B62" s="28" t="inlineStr">
        <is>
          <t>FILTER-12266</t>
        </is>
      </c>
      <c r="C62" s="20" t="inlineStr">
        <is>
          <t>DEV - JS (All Extensions): Securly Filter Dashboard YT videos thumbnails are blurred</t>
        </is>
      </c>
      <c r="D62" t="inlineStr">
        <is>
          <t>FILTER-12265</t>
        </is>
      </c>
      <c r="E62" t="inlineStr">
        <is>
          <t>Defect</t>
        </is>
      </c>
      <c r="F62" t="inlineStr">
        <is>
          <t>Arun Thakur</t>
        </is>
      </c>
      <c r="G62" t="inlineStr">
        <is>
          <t>Closed without action</t>
        </is>
      </c>
      <c r="H62" t="inlineStr"/>
      <c r="I62" t="inlineStr">
        <is>
          <t>P2</t>
        </is>
      </c>
      <c r="J62" s="29" t="n">
        <v>46079</v>
      </c>
      <c r="L62" s="29" t="n">
        <v>46118</v>
      </c>
      <c r="M62" t="inlineStr">
        <is>
          <t>sprint-Fay</t>
        </is>
      </c>
      <c r="N62" s="11" t="n">
        <v>0</v>
      </c>
      <c r="O62" s="11" t="n">
        <v>0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Dev</t>
        </is>
      </c>
      <c r="B63" s="28" t="inlineStr">
        <is>
          <t>FILTER-12270</t>
        </is>
      </c>
      <c r="C63" s="20" t="inlineStr">
        <is>
          <t>DEV - CLONE - JS (Windows+ Edge) Extensions. Securly Filter Dashboard YT videos thumbnails are blurred</t>
        </is>
      </c>
      <c r="D63" t="inlineStr">
        <is>
          <t>FILTER-12265</t>
        </is>
      </c>
      <c r="E63" t="inlineStr">
        <is>
          <t>Defect</t>
        </is>
      </c>
      <c r="F63" t="inlineStr">
        <is>
          <t>Arun Thakur</t>
        </is>
      </c>
      <c r="G63" t="inlineStr">
        <is>
          <t>Done</t>
        </is>
      </c>
      <c r="H63" t="inlineStr"/>
      <c r="I63" t="inlineStr">
        <is>
          <t>P1</t>
        </is>
      </c>
      <c r="J63" s="29" t="n">
        <v>46079</v>
      </c>
      <c r="L63" s="29" t="n">
        <v>46118</v>
      </c>
      <c r="M63" t="inlineStr">
        <is>
          <t>sprint-Fay</t>
        </is>
      </c>
      <c r="N63" s="11" t="n">
        <v>4</v>
      </c>
      <c r="O63" s="11" t="n">
        <v>4</v>
      </c>
      <c r="P63" t="inlineStr">
        <is>
          <t>FILTER</t>
        </is>
      </c>
      <c r="Q63" t="inlineStr"/>
      <c r="R63" t="inlineStr"/>
      <c r="S63" t="inlineStr"/>
    </row>
    <row r="64">
      <c r="A64" t="inlineStr">
        <is>
          <t>Dev</t>
        </is>
      </c>
      <c r="B64" s="28" t="inlineStr">
        <is>
          <t>FILTER-12273</t>
        </is>
      </c>
      <c r="C64" s="20" t="inlineStr">
        <is>
          <t>DEV - CLONE - JS (Windows+ Edge) Extensions. SFW images are also getting blurred by the model</t>
        </is>
      </c>
      <c r="D64" t="inlineStr">
        <is>
          <t>FILTER-12272</t>
        </is>
      </c>
      <c r="E64" t="inlineStr">
        <is>
          <t>Defect</t>
        </is>
      </c>
      <c r="F64" t="inlineStr">
        <is>
          <t>Arun Thakur</t>
        </is>
      </c>
      <c r="G64" t="inlineStr">
        <is>
          <t>Closed without action</t>
        </is>
      </c>
      <c r="H64" t="inlineStr"/>
      <c r="I64" t="inlineStr">
        <is>
          <t>P1</t>
        </is>
      </c>
      <c r="J64" s="29" t="n">
        <v>46079</v>
      </c>
      <c r="L64" s="29" t="n">
        <v>46118</v>
      </c>
      <c r="M64" t="inlineStr">
        <is>
          <t>sprint-Fay</t>
        </is>
      </c>
      <c r="N64" s="11" t="n">
        <v>0</v>
      </c>
      <c r="O64" s="11" t="n">
        <v>0</v>
      </c>
      <c r="P64" t="inlineStr">
        <is>
          <t>FILTER</t>
        </is>
      </c>
      <c r="Q64" t="inlineStr"/>
      <c r="R64" t="inlineStr"/>
      <c r="S64" t="inlineStr"/>
    </row>
    <row r="65">
      <c r="A65" t="inlineStr">
        <is>
          <t>Dev</t>
        </is>
      </c>
      <c r="B65" s="28" t="inlineStr">
        <is>
          <t>FILTER-12276</t>
        </is>
      </c>
      <c r="C65" s="20" t="inlineStr">
        <is>
          <t>DEV - CLONE - JS (Windows+ Edge) Extensions. Image Blur. Amazon.com is accessible but links/logo/dropdowns not clickable</t>
        </is>
      </c>
      <c r="D65" t="inlineStr">
        <is>
          <t>FILTER-12272</t>
        </is>
      </c>
      <c r="E65" t="inlineStr">
        <is>
          <t>Defect</t>
        </is>
      </c>
      <c r="F65" t="inlineStr">
        <is>
          <t>Arun Thakur</t>
        </is>
      </c>
      <c r="G65" t="inlineStr">
        <is>
          <t>Done</t>
        </is>
      </c>
      <c r="H65" t="inlineStr"/>
      <c r="I65" t="inlineStr">
        <is>
          <t>P1</t>
        </is>
      </c>
      <c r="J65" s="29" t="n">
        <v>46079</v>
      </c>
      <c r="L65" s="29" t="n">
        <v>46118</v>
      </c>
      <c r="M65" t="inlineStr">
        <is>
          <t>sprint-Fay</t>
        </is>
      </c>
      <c r="N65" s="11" t="n">
        <v>6</v>
      </c>
      <c r="O65" s="11" t="n">
        <v>6</v>
      </c>
      <c r="P65" t="inlineStr">
        <is>
          <t>FILTER</t>
        </is>
      </c>
      <c r="Q65" t="inlineStr"/>
      <c r="R65" t="inlineStr"/>
      <c r="S65" t="inlineStr"/>
    </row>
    <row r="66">
      <c r="A66" t="inlineStr">
        <is>
          <t>Dev</t>
        </is>
      </c>
      <c r="B66" s="28" t="inlineStr">
        <is>
          <t>FILTER-12279</t>
        </is>
      </c>
      <c r="C66" s="20" t="inlineStr">
        <is>
          <t>DEV -JS (All Extensions) Image Blur on Search sites is bluring non blurred images on click</t>
        </is>
      </c>
      <c r="D66" t="inlineStr">
        <is>
          <t>FILTER-12278</t>
        </is>
      </c>
      <c r="E66" t="inlineStr">
        <is>
          <t>Defect</t>
        </is>
      </c>
      <c r="F66" t="inlineStr">
        <is>
          <t>Arun Thakur</t>
        </is>
      </c>
      <c r="G66" t="inlineStr">
        <is>
          <t>Closed without action</t>
        </is>
      </c>
      <c r="H66" t="inlineStr"/>
      <c r="I66" t="inlineStr">
        <is>
          <t>P1</t>
        </is>
      </c>
      <c r="J66" s="29" t="n">
        <v>46079</v>
      </c>
      <c r="L66" s="29" t="n">
        <v>46104</v>
      </c>
      <c r="M66" t="inlineStr">
        <is>
          <t>sprint-Fay</t>
        </is>
      </c>
      <c r="N66" s="11" t="n">
        <v>0</v>
      </c>
      <c r="O66" s="11" t="n">
        <v>0</v>
      </c>
      <c r="P66" t="inlineStr">
        <is>
          <t>FILTER</t>
        </is>
      </c>
      <c r="Q66" t="inlineStr"/>
      <c r="R66" t="inlineStr"/>
      <c r="S66" t="inlineStr"/>
    </row>
    <row r="67">
      <c r="A67" t="inlineStr">
        <is>
          <t>Dev</t>
        </is>
      </c>
      <c r="B67" s="28" t="inlineStr">
        <is>
          <t>FILTER-12595</t>
        </is>
      </c>
      <c r="C67" s="20" t="inlineStr">
        <is>
          <t>Restrict adding google.com from filter-Admin Allow list UI</t>
        </is>
      </c>
      <c r="D67" t="inlineStr">
        <is>
          <t>FILTER-12573</t>
        </is>
      </c>
      <c r="E67" t="inlineStr">
        <is>
          <t>Escape Defect</t>
        </is>
      </c>
      <c r="F67" t="inlineStr">
        <is>
          <t>Arun Thakur</t>
        </is>
      </c>
      <c r="G67" t="inlineStr">
        <is>
          <t>Done</t>
        </is>
      </c>
      <c r="H67" t="inlineStr"/>
      <c r="I67" t="inlineStr">
        <is>
          <t>P0</t>
        </is>
      </c>
      <c r="J67" s="29" t="n">
        <v>46101</v>
      </c>
      <c r="L67" s="29" t="n">
        <v>46101</v>
      </c>
      <c r="M67" t="inlineStr">
        <is>
          <t>sprint-Fay</t>
        </is>
      </c>
      <c r="N67" s="11" t="n">
        <v>6</v>
      </c>
      <c r="O67" s="11" t="n">
        <v>6</v>
      </c>
      <c r="P67" t="inlineStr">
        <is>
          <t>FILTER</t>
        </is>
      </c>
      <c r="Q67" t="inlineStr"/>
      <c r="R67" t="inlineStr"/>
      <c r="S67" t="inlineStr"/>
    </row>
    <row r="68">
      <c r="A68" t="inlineStr">
        <is>
          <t>Dev</t>
        </is>
      </c>
      <c r="B68" s="28" t="inlineStr">
        <is>
          <t>FILTER-12653</t>
        </is>
      </c>
      <c r="C68" s="20" t="inlineStr">
        <is>
          <t>Fix Activities report download failure (CSV/PDF) on Filter Console</t>
        </is>
      </c>
      <c r="D68" t="inlineStr">
        <is>
          <t>FILTER-12644</t>
        </is>
      </c>
      <c r="E68" t="inlineStr">
        <is>
          <t>Escape Defect</t>
        </is>
      </c>
      <c r="F68" t="inlineStr">
        <is>
          <t>Arun Thakur</t>
        </is>
      </c>
      <c r="G68" t="inlineStr">
        <is>
          <t>Closed without action</t>
        </is>
      </c>
      <c r="H68" t="inlineStr"/>
      <c r="I68" t="inlineStr">
        <is>
          <t>P1</t>
        </is>
      </c>
      <c r="J68" s="29" t="n">
        <v>46105</v>
      </c>
      <c r="L68" s="29" t="n">
        <v>46106</v>
      </c>
      <c r="M68" t="inlineStr">
        <is>
          <t>sprint-Fay</t>
        </is>
      </c>
      <c r="N68" s="11" t="n">
        <v>0</v>
      </c>
      <c r="O68" s="11" t="n">
        <v>4</v>
      </c>
      <c r="P68" t="inlineStr">
        <is>
          <t>FILTER</t>
        </is>
      </c>
      <c r="Q68" t="inlineStr"/>
      <c r="R68" t="inlineStr"/>
      <c r="S68" t="inlineStr"/>
    </row>
    <row r="69">
      <c r="A69" t="inlineStr">
        <is>
          <t>Dev</t>
        </is>
      </c>
      <c r="B69" s="28" t="inlineStr">
        <is>
          <t>FILTER-12694</t>
        </is>
      </c>
      <c r="C69" s="20" t="inlineStr">
        <is>
          <t>DEV - Removed NSFW image blur feature code and related files from the securly-extensions repository</t>
        </is>
      </c>
      <c r="D69" t="inlineStr">
        <is>
          <t>FILTER-12693</t>
        </is>
      </c>
      <c r="E69" t="inlineStr">
        <is>
          <t>Task</t>
        </is>
      </c>
      <c r="F69" t="inlineStr">
        <is>
          <t>Arun Thakur</t>
        </is>
      </c>
      <c r="G69" t="inlineStr">
        <is>
          <t>Done</t>
        </is>
      </c>
      <c r="H69" t="inlineStr"/>
      <c r="I69" t="inlineStr">
        <is>
          <t>P3</t>
        </is>
      </c>
      <c r="J69" s="29" t="n">
        <v>46107</v>
      </c>
      <c r="L69" s="29" t="n">
        <v>46107</v>
      </c>
      <c r="M69" t="inlineStr">
        <is>
          <t>sprint-Fay</t>
        </is>
      </c>
      <c r="N69" s="11" t="n">
        <v>1</v>
      </c>
      <c r="O69" s="11" t="n">
        <v>1</v>
      </c>
      <c r="P69" t="inlineStr">
        <is>
          <t>FILTER</t>
        </is>
      </c>
      <c r="Q69" t="inlineStr"/>
      <c r="R69" t="inlineStr"/>
      <c r="S69" t="inlineStr"/>
    </row>
    <row r="70">
      <c r="A70" t="inlineStr">
        <is>
          <t>QA</t>
        </is>
      </c>
      <c r="B70" s="28" t="inlineStr">
        <is>
          <t>FILTER-12695</t>
        </is>
      </c>
      <c r="C70" s="20" t="inlineStr">
        <is>
          <t>QA- Removed NSFW image blur feature code and related files from the securly-extensions repository</t>
        </is>
      </c>
      <c r="D70" t="inlineStr">
        <is>
          <t>FILTER-12693</t>
        </is>
      </c>
      <c r="E70" t="inlineStr">
        <is>
          <t>Task</t>
        </is>
      </c>
      <c r="F70" t="inlineStr">
        <is>
          <t>Arun Thakur</t>
        </is>
      </c>
      <c r="G70" t="inlineStr">
        <is>
          <t>Closed without action</t>
        </is>
      </c>
      <c r="H70" t="inlineStr"/>
      <c r="I70" t="inlineStr">
        <is>
          <t>P3</t>
        </is>
      </c>
      <c r="J70" s="29" t="n">
        <v>46107</v>
      </c>
      <c r="L70" s="29" t="n">
        <v>46107</v>
      </c>
      <c r="M70" t="inlineStr">
        <is>
          <t>sprint-Fay</t>
        </is>
      </c>
      <c r="N70" s="11" t="n">
        <v>0</v>
      </c>
      <c r="O70" s="11" t="n">
        <v>0</v>
      </c>
      <c r="P70" t="inlineStr">
        <is>
          <t>FILTER</t>
        </is>
      </c>
      <c r="Q70" t="inlineStr"/>
      <c r="R70" t="inlineStr"/>
      <c r="S70" t="inlineStr"/>
    </row>
    <row r="71">
      <c r="A71" t="inlineStr">
        <is>
          <t>Dev</t>
        </is>
      </c>
      <c r="B71" s="28" t="inlineStr">
        <is>
          <t>FILTER-12482</t>
        </is>
      </c>
      <c r="C71" s="20" t="inlineStr">
        <is>
          <t>DEV - etld.securly.com.surf.surfnet.ca is not blocking for extension filtering</t>
        </is>
      </c>
      <c r="D71" t="inlineStr">
        <is>
          <t>FILTER-12481</t>
        </is>
      </c>
      <c r="E71" t="inlineStr">
        <is>
          <t>Escape Defect</t>
        </is>
      </c>
      <c r="F71" t="inlineStr">
        <is>
          <t>Ashish Modak</t>
        </is>
      </c>
      <c r="G71" t="inlineStr">
        <is>
          <t>Done</t>
        </is>
      </c>
      <c r="H71" t="inlineStr"/>
      <c r="I71" t="inlineStr">
        <is>
          <t>P2</t>
        </is>
      </c>
      <c r="J71" s="29" t="n">
        <v>46094</v>
      </c>
      <c r="L71" s="29" t="n">
        <v>46099</v>
      </c>
      <c r="M71" t="inlineStr">
        <is>
          <t>sprint-Fay</t>
        </is>
      </c>
      <c r="N71" s="11" t="n">
        <v>8</v>
      </c>
      <c r="O71" s="11" t="n">
        <v>8</v>
      </c>
      <c r="P71" t="inlineStr">
        <is>
          <t>FILTER</t>
        </is>
      </c>
      <c r="Q71" t="inlineStr"/>
      <c r="R71" t="inlineStr"/>
      <c r="S71" t="inlineStr"/>
    </row>
    <row r="72">
      <c r="A72" t="inlineStr">
        <is>
          <t>Dev</t>
        </is>
      </c>
      <c r="B72" s="28" t="inlineStr">
        <is>
          <t>FILTER-11567</t>
        </is>
      </c>
      <c r="C72" s="20" t="inlineStr">
        <is>
          <t>Align SmartPAC Categorization with Global Database (Self-Harm)</t>
        </is>
      </c>
      <c r="D72" t="inlineStr">
        <is>
          <t>FILTER-11539</t>
        </is>
      </c>
      <c r="E72" t="inlineStr">
        <is>
          <t>Escape Defect</t>
        </is>
      </c>
      <c r="F72" t="inlineStr">
        <is>
          <t>Ashish Temurnikar</t>
        </is>
      </c>
      <c r="G72" t="inlineStr">
        <is>
          <t>Done</t>
        </is>
      </c>
      <c r="H72" t="inlineStr"/>
      <c r="I72" t="inlineStr">
        <is>
          <t>P2</t>
        </is>
      </c>
      <c r="J72" s="29" t="n">
        <v>46024</v>
      </c>
      <c r="L72" s="29" t="n">
        <v>46104</v>
      </c>
      <c r="M72" t="inlineStr">
        <is>
          <t>sprint-Fay</t>
        </is>
      </c>
      <c r="N72" s="11" t="n">
        <v>4</v>
      </c>
      <c r="O72" s="11" t="n">
        <v>4</v>
      </c>
      <c r="P72" t="inlineStr">
        <is>
          <t>FILTER</t>
        </is>
      </c>
      <c r="Q72" t="inlineStr"/>
      <c r="R72" t="inlineStr"/>
      <c r="S72" t="inlineStr"/>
    </row>
    <row r="73">
      <c r="A73" t="inlineStr">
        <is>
          <t>Dev</t>
        </is>
      </c>
      <c r="B73" s="28" t="inlineStr">
        <is>
          <t>FILTER-12005</t>
        </is>
      </c>
      <c r="C73" s="20" t="inlineStr">
        <is>
          <t>[PageScan] Investigate and fix blocking of twitter.gmsgroup.app for UK school (FID: securly@shaw-education.org.uk)</t>
        </is>
      </c>
      <c r="D73" t="inlineStr">
        <is>
          <t>FILTER-12004</t>
        </is>
      </c>
      <c r="E73" t="inlineStr">
        <is>
          <t>Task</t>
        </is>
      </c>
      <c r="F73" t="inlineStr">
        <is>
          <t>Ashish Temurnikar</t>
        </is>
      </c>
      <c r="G73" t="inlineStr">
        <is>
          <t>Done</t>
        </is>
      </c>
      <c r="H73" t="inlineStr"/>
      <c r="I73" t="inlineStr">
        <is>
          <t>P2</t>
        </is>
      </c>
      <c r="J73" s="29" t="n">
        <v>46063</v>
      </c>
      <c r="L73" s="29" t="n">
        <v>46104</v>
      </c>
      <c r="M73" t="inlineStr">
        <is>
          <t>sprint-Fay</t>
        </is>
      </c>
      <c r="N73" s="11" t="n">
        <v>6</v>
      </c>
      <c r="O73" s="11" t="n">
        <v>5</v>
      </c>
      <c r="P73" t="inlineStr">
        <is>
          <t>FILTER</t>
        </is>
      </c>
      <c r="Q73" t="inlineStr"/>
      <c r="R73" t="inlineStr"/>
      <c r="S73" t="inlineStr"/>
    </row>
    <row r="74">
      <c r="A74" t="inlineStr">
        <is>
          <t>QA</t>
        </is>
      </c>
      <c r="B74" s="28" t="inlineStr">
        <is>
          <t>FILTER-11897</t>
        </is>
      </c>
      <c r="C74" s="20" t="inlineStr">
        <is>
          <t>Vector Expansion - Verify if http://kiddle/co/ is added to search scanning</t>
        </is>
      </c>
      <c r="D74" t="inlineStr">
        <is>
          <t>FILTER-11895</t>
        </is>
      </c>
      <c r="E74" t="inlineStr">
        <is>
          <t>Story</t>
        </is>
      </c>
      <c r="F74" t="inlineStr">
        <is>
          <t>Ayesha Kamde</t>
        </is>
      </c>
      <c r="G74" t="inlineStr">
        <is>
          <t>Done</t>
        </is>
      </c>
      <c r="H74" t="inlineStr"/>
      <c r="I74" t="inlineStr">
        <is>
          <t>P2</t>
        </is>
      </c>
      <c r="J74" s="29" t="n">
        <v>46051</v>
      </c>
      <c r="L74" s="29" t="n">
        <v>46118</v>
      </c>
      <c r="M74" t="inlineStr">
        <is>
          <t>sprint-Fay</t>
        </is>
      </c>
      <c r="N74" s="11" t="n">
        <v>5</v>
      </c>
      <c r="O74" s="11" t="n">
        <v>6</v>
      </c>
      <c r="P74" t="inlineStr">
        <is>
          <t>FILTER</t>
        </is>
      </c>
      <c r="Q74" t="inlineStr"/>
      <c r="R74" t="inlineStr"/>
      <c r="S74" t="inlineStr"/>
    </row>
    <row r="75">
      <c r="A75" t="inlineStr">
        <is>
          <t>QA</t>
        </is>
      </c>
      <c r="B75" s="28" t="inlineStr">
        <is>
          <t>FILTER-12102</t>
        </is>
      </c>
      <c r="C75" s="20" t="inlineStr">
        <is>
          <t>Regression and translation checking for Dashboard page only for all 3 languages English, French and Spanish</t>
        </is>
      </c>
      <c r="D75" t="inlineStr">
        <is>
          <t>FILTER-12100</t>
        </is>
      </c>
      <c r="E75" t="inlineStr">
        <is>
          <t>Story</t>
        </is>
      </c>
      <c r="F75" t="inlineStr">
        <is>
          <t>Ayesha Kamde</t>
        </is>
      </c>
      <c r="G75" t="inlineStr">
        <is>
          <t>Closed without action</t>
        </is>
      </c>
      <c r="H75" t="inlineStr"/>
      <c r="I75" t="inlineStr">
        <is>
          <t>P3</t>
        </is>
      </c>
      <c r="J75" s="29" t="n">
        <v>46072</v>
      </c>
      <c r="L75" s="29" t="n">
        <v>46110</v>
      </c>
      <c r="M75" t="inlineStr">
        <is>
          <t>sprint-Fay</t>
        </is>
      </c>
      <c r="N75" s="11" t="n">
        <v>0</v>
      </c>
      <c r="O75" s="11" t="n">
        <v>2</v>
      </c>
      <c r="P75" t="inlineStr">
        <is>
          <t>FILTER</t>
        </is>
      </c>
      <c r="Q75" t="inlineStr"/>
      <c r="R75" t="inlineStr"/>
      <c r="S75" t="inlineStr"/>
    </row>
    <row r="76">
      <c r="A76" t="inlineStr">
        <is>
          <t>QA</t>
        </is>
      </c>
      <c r="B76" s="28" t="inlineStr">
        <is>
          <t>FILTER-12141</t>
        </is>
      </c>
      <c r="C76" s="20" t="inlineStr">
        <is>
          <t>QA- JS Extn (Chromebook) : Debug Info Not Displayed for Certain Domain Images When Opened Directly (setNSFWDebugAllTabs(true))</t>
        </is>
      </c>
      <c r="D76" t="inlineStr">
        <is>
          <t>FILTER-12139</t>
        </is>
      </c>
      <c r="E76" t="inlineStr">
        <is>
          <t>Defect</t>
        </is>
      </c>
      <c r="F76" t="inlineStr">
        <is>
          <t>Ayesha Kamde</t>
        </is>
      </c>
      <c r="G76" t="inlineStr">
        <is>
          <t>Done</t>
        </is>
      </c>
      <c r="H76" t="inlineStr"/>
      <c r="I76" t="inlineStr">
        <is>
          <t>P3</t>
        </is>
      </c>
      <c r="J76" s="29" t="n">
        <v>46076</v>
      </c>
      <c r="L76" s="29" t="n">
        <v>46106</v>
      </c>
      <c r="M76" t="inlineStr">
        <is>
          <t>sprint-Fay</t>
        </is>
      </c>
      <c r="N76" s="11" t="n">
        <v>2</v>
      </c>
      <c r="O76" s="11" t="n">
        <v>2</v>
      </c>
      <c r="P76" t="inlineStr">
        <is>
          <t>FILTER</t>
        </is>
      </c>
      <c r="Q76" t="inlineStr"/>
      <c r="R76" t="inlineStr"/>
      <c r="S76" t="inlineStr"/>
    </row>
    <row r="77">
      <c r="A77" t="inlineStr">
        <is>
          <t>QA</t>
        </is>
      </c>
      <c r="B77" s="28" t="inlineStr">
        <is>
          <t>FILTER-12230</t>
        </is>
      </c>
      <c r="C77" s="20" t="inlineStr">
        <is>
          <t>QA- JS (All Extensions): Youtube.YT logo on YT page, YT search page, YT video page and YT shorts is not clickable</t>
        </is>
      </c>
      <c r="D77" t="inlineStr">
        <is>
          <t>FILTER-12228</t>
        </is>
      </c>
      <c r="E77" t="inlineStr">
        <is>
          <t>Defect</t>
        </is>
      </c>
      <c r="F77" t="inlineStr">
        <is>
          <t>Ayesha Kamde</t>
        </is>
      </c>
      <c r="G77" t="inlineStr">
        <is>
          <t>Done</t>
        </is>
      </c>
      <c r="H77" t="inlineStr"/>
      <c r="I77" t="inlineStr">
        <is>
          <t>P1</t>
        </is>
      </c>
      <c r="J77" s="29" t="n">
        <v>46078</v>
      </c>
      <c r="L77" s="29" t="n">
        <v>46132</v>
      </c>
      <c r="M77" t="inlineStr">
        <is>
          <t>sprint-Fay</t>
        </is>
      </c>
      <c r="N77" s="11" t="n">
        <v>1.5</v>
      </c>
      <c r="O77" s="11" t="n">
        <v>2</v>
      </c>
      <c r="P77" t="inlineStr">
        <is>
          <t>FILTER</t>
        </is>
      </c>
      <c r="Q77" t="inlineStr"/>
      <c r="R77" t="inlineStr"/>
      <c r="S77" t="inlineStr"/>
    </row>
    <row r="78">
      <c r="A78" t="inlineStr">
        <is>
          <t>QA</t>
        </is>
      </c>
      <c r="B78" s="28" t="inlineStr">
        <is>
          <t>FILTER-12249</t>
        </is>
      </c>
      <c r="C78" s="20" t="inlineStr">
        <is>
          <t>QA- Games sites, sometimes shows Accessed for no reason when games category is blocked</t>
        </is>
      </c>
      <c r="D78" t="inlineStr">
        <is>
          <t>FILTER-12247</t>
        </is>
      </c>
      <c r="E78" t="inlineStr">
        <is>
          <t>Escape Defect</t>
        </is>
      </c>
      <c r="F78" t="inlineStr">
        <is>
          <t>Ayesha Kamde</t>
        </is>
      </c>
      <c r="G78" t="inlineStr">
        <is>
          <t>Done</t>
        </is>
      </c>
      <c r="H78" t="inlineStr"/>
      <c r="I78" t="inlineStr">
        <is>
          <t>P1</t>
        </is>
      </c>
      <c r="J78" s="29" t="n">
        <v>46079</v>
      </c>
      <c r="L78" s="29" t="n">
        <v>46107</v>
      </c>
      <c r="M78" t="inlineStr">
        <is>
          <t>sprint-Fay</t>
        </is>
      </c>
      <c r="N78" s="11" t="n">
        <v>4</v>
      </c>
      <c r="O78" s="11" t="n">
        <v>4</v>
      </c>
      <c r="P78" t="inlineStr">
        <is>
          <t>FILTER</t>
        </is>
      </c>
      <c r="Q78" t="inlineStr"/>
      <c r="R78" t="inlineStr"/>
      <c r="S78" t="inlineStr"/>
    </row>
    <row r="79">
      <c r="A79" t="inlineStr">
        <is>
          <t>QA</t>
        </is>
      </c>
      <c r="B79" s="28" t="inlineStr">
        <is>
          <t>FILTER-12267</t>
        </is>
      </c>
      <c r="C79" s="20" t="inlineStr">
        <is>
          <t>QA- JS (All Extensions): Securly Filter Dashboard YT videos thumbnails are blurred</t>
        </is>
      </c>
      <c r="D79" t="inlineStr">
        <is>
          <t>FILTER-12265</t>
        </is>
      </c>
      <c r="E79" t="inlineStr">
        <is>
          <t>Defect</t>
        </is>
      </c>
      <c r="F79" t="inlineStr">
        <is>
          <t>Ayesha Kamde</t>
        </is>
      </c>
      <c r="G79" t="inlineStr">
        <is>
          <t>Done</t>
        </is>
      </c>
      <c r="H79" t="inlineStr"/>
      <c r="I79" t="inlineStr">
        <is>
          <t>P2</t>
        </is>
      </c>
      <c r="J79" s="29" t="n">
        <v>46079</v>
      </c>
      <c r="L79" s="29" t="n">
        <v>46118</v>
      </c>
      <c r="M79" t="inlineStr">
        <is>
          <t>sprint-Fay</t>
        </is>
      </c>
      <c r="N79" s="11" t="n">
        <v>2</v>
      </c>
      <c r="O79" s="11" t="n">
        <v>2</v>
      </c>
      <c r="P79" t="inlineStr">
        <is>
          <t>FILTER</t>
        </is>
      </c>
      <c r="Q79" t="inlineStr"/>
      <c r="R79" t="inlineStr"/>
      <c r="S79" t="inlineStr"/>
    </row>
    <row r="80">
      <c r="A80" t="inlineStr">
        <is>
          <t>QA</t>
        </is>
      </c>
      <c r="B80" s="28" t="inlineStr">
        <is>
          <t>FILTER-12274</t>
        </is>
      </c>
      <c r="C80" s="20" t="inlineStr">
        <is>
          <t>JS (All Extensions) Image Blur. Amazon.com is accessible but links/logo/dropdowns not clickable</t>
        </is>
      </c>
      <c r="D80" t="inlineStr">
        <is>
          <t>FILTER-12272</t>
        </is>
      </c>
      <c r="E80" t="inlineStr">
        <is>
          <t>Defect</t>
        </is>
      </c>
      <c r="F80" t="inlineStr">
        <is>
          <t>Ayesha Kamde</t>
        </is>
      </c>
      <c r="G80" t="inlineStr">
        <is>
          <t>Done</t>
        </is>
      </c>
      <c r="H80" t="inlineStr"/>
      <c r="I80" t="inlineStr">
        <is>
          <t>P1</t>
        </is>
      </c>
      <c r="J80" s="29" t="n">
        <v>46079</v>
      </c>
      <c r="L80" s="29" t="n">
        <v>46118</v>
      </c>
      <c r="M80" t="inlineStr">
        <is>
          <t>sprint-Fay</t>
        </is>
      </c>
      <c r="N80" s="11" t="n">
        <v>2</v>
      </c>
      <c r="O80" s="11" t="n">
        <v>2</v>
      </c>
      <c r="P80" t="inlineStr">
        <is>
          <t>FILTER</t>
        </is>
      </c>
      <c r="Q80" t="inlineStr"/>
      <c r="R80" t="inlineStr"/>
      <c r="S80" t="inlineStr"/>
    </row>
    <row r="81">
      <c r="A81" t="inlineStr">
        <is>
          <t>QA</t>
        </is>
      </c>
      <c r="B81" s="28" t="inlineStr">
        <is>
          <t>FILTER-12280</t>
        </is>
      </c>
      <c r="C81" s="20" t="inlineStr">
        <is>
          <t>QA- JS (All Extensions) Image Blur on Search sites is bluring non blurred images on click</t>
        </is>
      </c>
      <c r="D81" t="inlineStr">
        <is>
          <t>FILTER-12278</t>
        </is>
      </c>
      <c r="E81" t="inlineStr">
        <is>
          <t>Defect</t>
        </is>
      </c>
      <c r="F81" t="inlineStr">
        <is>
          <t>Ayesha Kamde</t>
        </is>
      </c>
      <c r="G81" t="inlineStr">
        <is>
          <t>Closed without action</t>
        </is>
      </c>
      <c r="H81" t="inlineStr"/>
      <c r="I81" t="inlineStr">
        <is>
          <t>P1</t>
        </is>
      </c>
      <c r="J81" s="29" t="n">
        <v>46079</v>
      </c>
      <c r="L81" s="29" t="n">
        <v>46105</v>
      </c>
      <c r="M81" t="inlineStr">
        <is>
          <t>sprint-Fay</t>
        </is>
      </c>
      <c r="N81" s="11" t="n">
        <v>0</v>
      </c>
      <c r="O81" s="11" t="n">
        <v>2</v>
      </c>
      <c r="P81" t="inlineStr">
        <is>
          <t>FILTER</t>
        </is>
      </c>
      <c r="Q81" t="inlineStr"/>
      <c r="R81" t="inlineStr"/>
      <c r="S81" t="inlineStr"/>
    </row>
    <row r="82">
      <c r="A82" t="inlineStr">
        <is>
          <t>QA</t>
        </is>
      </c>
      <c r="B82" s="28" t="inlineStr">
        <is>
          <t>FILTER-12288</t>
        </is>
      </c>
      <c r="C82" s="20" t="inlineStr">
        <is>
          <t>Verify all Image Blur test cases for JS</t>
        </is>
      </c>
      <c r="D82" t="inlineStr">
        <is>
          <t>FILTER-11974</t>
        </is>
      </c>
      <c r="E82" t="inlineStr">
        <is>
          <t>Story</t>
        </is>
      </c>
      <c r="F82" t="inlineStr">
        <is>
          <t>Ayesha Kamde</t>
        </is>
      </c>
      <c r="G82" t="inlineStr">
        <is>
          <t>Done</t>
        </is>
      </c>
      <c r="H82" t="inlineStr"/>
      <c r="I82" t="inlineStr">
        <is>
          <t>P3</t>
        </is>
      </c>
      <c r="J82" s="29" t="n">
        <v>46080</v>
      </c>
      <c r="L82" s="29" t="n">
        <v>46084</v>
      </c>
      <c r="M82" t="inlineStr">
        <is>
          <t>sprint-Fay</t>
        </is>
      </c>
      <c r="N82" s="11" t="n">
        <v>25</v>
      </c>
      <c r="O82" s="11" t="n">
        <v>5</v>
      </c>
      <c r="P82" t="inlineStr">
        <is>
          <t>FILTER</t>
        </is>
      </c>
      <c r="Q82" t="inlineStr"/>
      <c r="R82" t="inlineStr"/>
      <c r="S82" t="inlineStr"/>
    </row>
    <row r="83">
      <c r="A83" t="inlineStr">
        <is>
          <t>QA</t>
        </is>
      </c>
      <c r="B83" s="28" t="inlineStr">
        <is>
          <t>FILTER-12368</t>
        </is>
      </c>
      <c r="C83" s="20" t="inlineStr">
        <is>
          <t>QA- In prod: No, Global Navigation Labels and Profile Menu Labels Missing in RTQA4 and RTQA1</t>
        </is>
      </c>
      <c r="D83" t="inlineStr">
        <is>
          <t>FILTER-12366</t>
        </is>
      </c>
      <c r="E83" t="inlineStr">
        <is>
          <t>Defect</t>
        </is>
      </c>
      <c r="F83" t="inlineStr">
        <is>
          <t>Ayesha Kamde</t>
        </is>
      </c>
      <c r="G83" t="inlineStr">
        <is>
          <t>Closed without action</t>
        </is>
      </c>
      <c r="H83" t="inlineStr"/>
      <c r="I83" t="inlineStr">
        <is>
          <t>P2</t>
        </is>
      </c>
      <c r="J83" s="29" t="n">
        <v>46086</v>
      </c>
      <c r="L83" s="29" t="n">
        <v>46105</v>
      </c>
      <c r="M83" t="inlineStr">
        <is>
          <t>sprint-Fay</t>
        </is>
      </c>
      <c r="N83" s="11" t="n">
        <v>0</v>
      </c>
      <c r="O83" s="11" t="n">
        <v>0</v>
      </c>
      <c r="P83" t="inlineStr">
        <is>
          <t>FILTER</t>
        </is>
      </c>
      <c r="Q83" t="inlineStr"/>
      <c r="R83" t="inlineStr"/>
      <c r="S83" t="inlineStr"/>
    </row>
    <row r="84">
      <c r="A84" t="inlineStr">
        <is>
          <t>QA</t>
        </is>
      </c>
      <c r="B84" s="28" t="inlineStr">
        <is>
          <t>FILTER-12483</t>
        </is>
      </c>
      <c r="C84" s="20" t="inlineStr">
        <is>
          <t>QA- etld.securly.com.surf.surfnet.ca is not blocking for extension filtering</t>
        </is>
      </c>
      <c r="D84" t="inlineStr">
        <is>
          <t>FILTER-12481</t>
        </is>
      </c>
      <c r="E84" t="inlineStr">
        <is>
          <t>Escape Defect</t>
        </is>
      </c>
      <c r="F84" t="inlineStr">
        <is>
          <t>Ayesha Kamde</t>
        </is>
      </c>
      <c r="G84" t="inlineStr">
        <is>
          <t>Done</t>
        </is>
      </c>
      <c r="H84" t="inlineStr"/>
      <c r="I84" t="inlineStr">
        <is>
          <t>P2</t>
        </is>
      </c>
      <c r="J84" s="29" t="n">
        <v>46094</v>
      </c>
      <c r="L84" s="29" t="n">
        <v>46104</v>
      </c>
      <c r="M84" t="inlineStr">
        <is>
          <t>sprint-Fay</t>
        </is>
      </c>
      <c r="N84" s="11" t="n">
        <v>5</v>
      </c>
      <c r="O84" s="11" t="n">
        <v>5</v>
      </c>
      <c r="P84" t="inlineStr">
        <is>
          <t>FILTER</t>
        </is>
      </c>
      <c r="Q84" t="inlineStr"/>
      <c r="R84" t="inlineStr"/>
      <c r="S84" t="inlineStr"/>
    </row>
    <row r="85">
      <c r="A85" t="inlineStr">
        <is>
          <t>QA</t>
        </is>
      </c>
      <c r="B85" s="28" t="inlineStr">
        <is>
          <t>FILTER-12597</t>
        </is>
      </c>
      <c r="C85" s="20" t="inlineStr">
        <is>
          <t xml:space="preserve">Verify that google.com is not added to allow list through any medium </t>
        </is>
      </c>
      <c r="D85" t="inlineStr">
        <is>
          <t>FILTER-12573</t>
        </is>
      </c>
      <c r="E85" t="inlineStr">
        <is>
          <t>Escape Defect</t>
        </is>
      </c>
      <c r="F85" t="inlineStr">
        <is>
          <t>Ayesha Kamde</t>
        </is>
      </c>
      <c r="G85" t="inlineStr">
        <is>
          <t>Done</t>
        </is>
      </c>
      <c r="H85" t="inlineStr"/>
      <c r="I85" t="inlineStr">
        <is>
          <t>P0</t>
        </is>
      </c>
      <c r="J85" s="29" t="n">
        <v>46101</v>
      </c>
      <c r="L85" s="29" t="n">
        <v>46101</v>
      </c>
      <c r="M85" t="inlineStr">
        <is>
          <t>sprint-Fay</t>
        </is>
      </c>
      <c r="N85" s="11" t="n">
        <v>5</v>
      </c>
      <c r="O85" s="11" t="n">
        <v>5</v>
      </c>
      <c r="P85" t="inlineStr">
        <is>
          <t>FILTER</t>
        </is>
      </c>
      <c r="Q85" t="inlineStr"/>
      <c r="R85" t="inlineStr"/>
      <c r="S85" t="inlineStr"/>
    </row>
    <row r="86">
      <c r="A86" t="inlineStr">
        <is>
          <t>QA</t>
        </is>
      </c>
      <c r="B86" s="28" t="inlineStr">
        <is>
          <t>FILTER-12604</t>
        </is>
      </c>
      <c r="C86" s="20" t="inlineStr">
        <is>
          <t xml:space="preserve">QA- (Intermediate issue): Google domains added to allow/block list during simultaneous CSV uploads across policies </t>
        </is>
      </c>
      <c r="D86" t="inlineStr">
        <is>
          <t>FILTER-12602</t>
        </is>
      </c>
      <c r="E86" t="inlineStr">
        <is>
          <t>Defect</t>
        </is>
      </c>
      <c r="F86" t="inlineStr">
        <is>
          <t>Ayesha Kamde</t>
        </is>
      </c>
      <c r="G86" t="inlineStr">
        <is>
          <t>Done</t>
        </is>
      </c>
      <c r="H86" t="inlineStr"/>
      <c r="I86" t="inlineStr">
        <is>
          <t>P2</t>
        </is>
      </c>
      <c r="J86" s="29" t="n">
        <v>46101</v>
      </c>
      <c r="L86" s="29" t="n">
        <v>46107</v>
      </c>
      <c r="M86" t="inlineStr">
        <is>
          <t>sprint-Fay</t>
        </is>
      </c>
      <c r="N86" s="11" t="n">
        <v>2</v>
      </c>
      <c r="O86" s="11" t="n">
        <v>2</v>
      </c>
      <c r="P86" t="inlineStr">
        <is>
          <t>FILTER</t>
        </is>
      </c>
      <c r="Q86" t="inlineStr"/>
      <c r="R86" t="inlineStr"/>
      <c r="S86" t="inlineStr"/>
    </row>
    <row r="87">
      <c r="A87" t="inlineStr">
        <is>
          <t>QA</t>
        </is>
      </c>
      <c r="B87" s="28" t="inlineStr">
        <is>
          <t>FILTER-12608</t>
        </is>
      </c>
      <c r="C87" s="20" t="inlineStr">
        <is>
          <t>QA- Restricted Google domain can be added when DNS Allow List toggle is OFF</t>
        </is>
      </c>
      <c r="D87" t="inlineStr">
        <is>
          <t>FILTER-12606</t>
        </is>
      </c>
      <c r="E87" t="inlineStr">
        <is>
          <t>Defect</t>
        </is>
      </c>
      <c r="F87" t="inlineStr">
        <is>
          <t>Ayesha Kamde</t>
        </is>
      </c>
      <c r="G87" t="inlineStr">
        <is>
          <t>Done</t>
        </is>
      </c>
      <c r="H87" t="inlineStr"/>
      <c r="I87" t="inlineStr">
        <is>
          <t>P2</t>
        </is>
      </c>
      <c r="J87" s="29" t="n">
        <v>46101</v>
      </c>
      <c r="L87" s="29" t="n">
        <v>46107</v>
      </c>
      <c r="M87" t="inlineStr">
        <is>
          <t>sprint-Fay</t>
        </is>
      </c>
      <c r="N87" s="11" t="n">
        <v>2</v>
      </c>
      <c r="O87" s="11" t="n">
        <v>2</v>
      </c>
      <c r="P87" t="inlineStr">
        <is>
          <t>FILTER</t>
        </is>
      </c>
      <c r="Q87" t="inlineStr"/>
      <c r="R87" t="inlineStr"/>
      <c r="S87" t="inlineStr"/>
    </row>
    <row r="88">
      <c r="A88" t="inlineStr">
        <is>
          <t>Task</t>
        </is>
      </c>
      <c r="B88" s="28" t="inlineStr">
        <is>
          <t>FILTER-12431</t>
        </is>
      </c>
      <c r="C88" s="20" t="inlineStr">
        <is>
          <t>[Effort Tracking] Helping classroom team for PR review and Technical discussions</t>
        </is>
      </c>
      <c r="D88" t="inlineStr"/>
      <c r="E88" t="inlineStr"/>
      <c r="F88" t="inlineStr">
        <is>
          <t>Harsh Verma</t>
        </is>
      </c>
      <c r="G88" t="inlineStr">
        <is>
          <t>Closed</t>
        </is>
      </c>
      <c r="H88" t="inlineStr"/>
      <c r="I88" t="inlineStr">
        <is>
          <t>P3</t>
        </is>
      </c>
      <c r="J88" s="29" t="n">
        <v>46093</v>
      </c>
      <c r="L88" s="29" t="n">
        <v>46112</v>
      </c>
      <c r="M88" t="inlineStr">
        <is>
          <t>sprint-Fay</t>
        </is>
      </c>
      <c r="N88" s="11" t="n">
        <v>4</v>
      </c>
      <c r="O88" s="11" t="n">
        <v>4</v>
      </c>
      <c r="P88" t="inlineStr">
        <is>
          <t>FILTER</t>
        </is>
      </c>
      <c r="Q88" t="inlineStr">
        <is>
          <t>unplanned-sprint</t>
        </is>
      </c>
      <c r="R88" t="inlineStr"/>
      <c r="S88" t="inlineStr"/>
    </row>
    <row r="89">
      <c r="A89" t="inlineStr">
        <is>
          <t>Dev</t>
        </is>
      </c>
      <c r="B89" s="28" t="inlineStr">
        <is>
          <t>FILTER-12432</t>
        </is>
      </c>
      <c r="C89" s="20" t="inlineStr">
        <is>
          <t>DEV - CLONE - Helping classroom team for PR review and Technical discussions</t>
        </is>
      </c>
      <c r="D89" t="inlineStr">
        <is>
          <t>FILTER-12431</t>
        </is>
      </c>
      <c r="E89" t="inlineStr">
        <is>
          <t>Task</t>
        </is>
      </c>
      <c r="F89" t="inlineStr">
        <is>
          <t>Harsh Verma</t>
        </is>
      </c>
      <c r="G89" t="inlineStr">
        <is>
          <t>Closed without action</t>
        </is>
      </c>
      <c r="H89" t="inlineStr"/>
      <c r="I89" t="inlineStr">
        <is>
          <t>P3</t>
        </is>
      </c>
      <c r="J89" s="29" t="n">
        <v>46093</v>
      </c>
      <c r="L89" s="29" t="n">
        <v>46112</v>
      </c>
      <c r="M89" t="inlineStr">
        <is>
          <t>sprint-Fay</t>
        </is>
      </c>
      <c r="N89" s="11" t="n">
        <v>0</v>
      </c>
      <c r="O89" s="11" t="n">
        <v>0</v>
      </c>
      <c r="P89" t="inlineStr">
        <is>
          <t>FILTER</t>
        </is>
      </c>
      <c r="Q89" t="inlineStr"/>
      <c r="R89" t="inlineStr"/>
      <c r="S89" t="inlineStr"/>
    </row>
    <row r="90">
      <c r="A90" t="inlineStr">
        <is>
          <t>QA</t>
        </is>
      </c>
      <c r="B90" s="28" t="inlineStr">
        <is>
          <t>FILTER-12433</t>
        </is>
      </c>
      <c r="C90" s="20" t="inlineStr">
        <is>
          <t>QA- CLONE - Helping classroom team for PR review and Technical discussions</t>
        </is>
      </c>
      <c r="D90" t="inlineStr">
        <is>
          <t>FILTER-12431</t>
        </is>
      </c>
      <c r="E90" t="inlineStr">
        <is>
          <t>Task</t>
        </is>
      </c>
      <c r="F90" t="inlineStr">
        <is>
          <t>Harsh Verma</t>
        </is>
      </c>
      <c r="G90" t="inlineStr">
        <is>
          <t>Closed without action</t>
        </is>
      </c>
      <c r="H90" t="inlineStr"/>
      <c r="I90" t="inlineStr">
        <is>
          <t>P3</t>
        </is>
      </c>
      <c r="J90" s="29" t="n">
        <v>46093</v>
      </c>
      <c r="L90" s="29" t="n">
        <v>46099</v>
      </c>
      <c r="M90" t="inlineStr">
        <is>
          <t>sprint-Fay</t>
        </is>
      </c>
      <c r="N90" s="11" t="n">
        <v>0</v>
      </c>
      <c r="O90" s="11" t="n">
        <v>0</v>
      </c>
      <c r="P90" t="inlineStr">
        <is>
          <t>FILTER</t>
        </is>
      </c>
      <c r="Q90" t="inlineStr"/>
      <c r="R90" t="inlineStr"/>
      <c r="S90" t="inlineStr"/>
    </row>
    <row r="91">
      <c r="A91" t="inlineStr">
        <is>
          <t>Task</t>
        </is>
      </c>
      <c r="B91" s="28" t="inlineStr">
        <is>
          <t>FILTER-12435</t>
        </is>
      </c>
      <c r="C91" s="20" t="inlineStr">
        <is>
          <t>[Effort Tracking] - Helping Home Team for the overall architecture of Parent Portal design Revamp and and AI Chat for their dashobard requirement</t>
        </is>
      </c>
      <c r="D91" t="inlineStr"/>
      <c r="E91" t="inlineStr"/>
      <c r="F91" t="inlineStr">
        <is>
          <t>Harsh Verma</t>
        </is>
      </c>
      <c r="G91" t="inlineStr">
        <is>
          <t>Closed</t>
        </is>
      </c>
      <c r="H91" t="inlineStr"/>
      <c r="I91" t="inlineStr">
        <is>
          <t>P3</t>
        </is>
      </c>
      <c r="J91" s="29" t="n">
        <v>46093</v>
      </c>
      <c r="L91" s="29" t="n">
        <v>46112</v>
      </c>
      <c r="M91" t="inlineStr">
        <is>
          <t>sprint-Fay</t>
        </is>
      </c>
      <c r="N91" s="11" t="n">
        <v>24</v>
      </c>
      <c r="O91" s="11" t="n">
        <v>24</v>
      </c>
      <c r="P91" t="inlineStr">
        <is>
          <t>FILTER</t>
        </is>
      </c>
      <c r="Q91" t="inlineStr">
        <is>
          <t>unplanned-sprint</t>
        </is>
      </c>
      <c r="R91" t="inlineStr"/>
      <c r="S91" t="inlineStr"/>
    </row>
    <row r="92">
      <c r="A92" t="inlineStr">
        <is>
          <t>Dev</t>
        </is>
      </c>
      <c r="B92" s="28" t="inlineStr">
        <is>
          <t>FILTER-12436</t>
        </is>
      </c>
      <c r="C92" s="20" t="inlineStr">
        <is>
          <t>DEV - CLONE - Helping Home Team for the overall architecture of Parent Portal design Revamp and and AI Chat for their dashobard requirement</t>
        </is>
      </c>
      <c r="D92" t="inlineStr">
        <is>
          <t>FILTER-12435</t>
        </is>
      </c>
      <c r="E92" t="inlineStr">
        <is>
          <t>Task</t>
        </is>
      </c>
      <c r="F92" t="inlineStr">
        <is>
          <t>Harsh Verma</t>
        </is>
      </c>
      <c r="G92" t="inlineStr">
        <is>
          <t>Closed without action</t>
        </is>
      </c>
      <c r="H92" t="inlineStr"/>
      <c r="I92" t="inlineStr">
        <is>
          <t>P3</t>
        </is>
      </c>
      <c r="J92" s="29" t="n">
        <v>46093</v>
      </c>
      <c r="L92" s="29" t="n">
        <v>46112</v>
      </c>
      <c r="M92" t="inlineStr">
        <is>
          <t>sprint-Fay</t>
        </is>
      </c>
      <c r="N92" s="11" t="n">
        <v>0</v>
      </c>
      <c r="O92" s="11" t="n">
        <v>0</v>
      </c>
      <c r="P92" t="inlineStr">
        <is>
          <t>FILTER</t>
        </is>
      </c>
      <c r="Q92" t="inlineStr"/>
      <c r="R92" t="inlineStr"/>
      <c r="S92" t="inlineStr"/>
    </row>
    <row r="93">
      <c r="A93" t="inlineStr">
        <is>
          <t>QA</t>
        </is>
      </c>
      <c r="B93" s="28" t="inlineStr">
        <is>
          <t>FILTER-12437</t>
        </is>
      </c>
      <c r="C93" s="20" t="inlineStr">
        <is>
          <t>QA- CLONE - Helping Home Team for the overall architecture of Parent Portal design Revamp and and AI Chat for their dashobard requirement</t>
        </is>
      </c>
      <c r="D93" t="inlineStr">
        <is>
          <t>FILTER-12435</t>
        </is>
      </c>
      <c r="E93" t="inlineStr">
        <is>
          <t>Task</t>
        </is>
      </c>
      <c r="F93" t="inlineStr">
        <is>
          <t>Harsh Verma</t>
        </is>
      </c>
      <c r="G93" t="inlineStr">
        <is>
          <t>Closed without action</t>
        </is>
      </c>
      <c r="H93" t="inlineStr"/>
      <c r="I93" t="inlineStr">
        <is>
          <t>P3</t>
        </is>
      </c>
      <c r="J93" s="29" t="n">
        <v>46093</v>
      </c>
      <c r="L93" s="29" t="n">
        <v>46099</v>
      </c>
      <c r="M93" t="inlineStr">
        <is>
          <t>sprint-Fay</t>
        </is>
      </c>
      <c r="N93" s="11" t="n">
        <v>0</v>
      </c>
      <c r="O93" s="11" t="n">
        <v>0</v>
      </c>
      <c r="P93" t="inlineStr">
        <is>
          <t>FILTER</t>
        </is>
      </c>
      <c r="Q93" t="inlineStr"/>
      <c r="R93" t="inlineStr"/>
      <c r="S93" t="inlineStr"/>
    </row>
    <row r="94">
      <c r="A94" t="inlineStr">
        <is>
          <t>Dev</t>
        </is>
      </c>
      <c r="B94" s="28" t="inlineStr">
        <is>
          <t>FILTER-12101</t>
        </is>
      </c>
      <c r="C94" s="20" t="inlineStr">
        <is>
          <t>Dev changes needed to migrate the code for Dashboard page</t>
        </is>
      </c>
      <c r="D94" t="inlineStr">
        <is>
          <t>FILTER-12100</t>
        </is>
      </c>
      <c r="E94" t="inlineStr">
        <is>
          <t>Story</t>
        </is>
      </c>
      <c r="F94" t="inlineStr">
        <is>
          <t>Harshada Kude</t>
        </is>
      </c>
      <c r="G94" t="inlineStr">
        <is>
          <t>Closed without action</t>
        </is>
      </c>
      <c r="H94" t="inlineStr"/>
      <c r="I94" t="inlineStr">
        <is>
          <t>P3</t>
        </is>
      </c>
      <c r="J94" s="29" t="n">
        <v>46072</v>
      </c>
      <c r="L94" s="29" t="n">
        <v>46099</v>
      </c>
      <c r="M94" t="inlineStr">
        <is>
          <t>sprint-Fay</t>
        </is>
      </c>
      <c r="N94" s="11" t="n">
        <v>0</v>
      </c>
      <c r="O94" s="11" t="n">
        <v>24</v>
      </c>
      <c r="P94" t="inlineStr">
        <is>
          <t>FILTER</t>
        </is>
      </c>
      <c r="Q94" t="inlineStr"/>
      <c r="R94" t="inlineStr"/>
      <c r="S94" t="inlineStr"/>
    </row>
    <row r="95">
      <c r="A95" t="inlineStr">
        <is>
          <t>Dev</t>
        </is>
      </c>
      <c r="B95" s="28" t="inlineStr">
        <is>
          <t>FILTER-12294</t>
        </is>
      </c>
      <c r="C95" s="20" t="inlineStr">
        <is>
          <t>Translations for Spanish &amp; French - Json Creation &amp; Verify</t>
        </is>
      </c>
      <c r="D95" t="inlineStr">
        <is>
          <t>FILTER-12293</t>
        </is>
      </c>
      <c r="E95" t="inlineStr">
        <is>
          <t>Story</t>
        </is>
      </c>
      <c r="F95" t="inlineStr">
        <is>
          <t>Harshada Kude</t>
        </is>
      </c>
      <c r="G95" t="inlineStr">
        <is>
          <t>Done</t>
        </is>
      </c>
      <c r="H95" t="inlineStr"/>
      <c r="I95" t="inlineStr">
        <is>
          <t>P3</t>
        </is>
      </c>
      <c r="J95" s="29" t="n">
        <v>46080</v>
      </c>
      <c r="L95" s="29" t="n">
        <v>46118</v>
      </c>
      <c r="M95" t="inlineStr">
        <is>
          <t>sprint-Fay</t>
        </is>
      </c>
      <c r="N95" s="11" t="n">
        <v>18</v>
      </c>
      <c r="O95" s="11" t="n">
        <v>16</v>
      </c>
      <c r="P95" t="inlineStr">
        <is>
          <t>FILTER</t>
        </is>
      </c>
      <c r="Q95" t="inlineStr"/>
      <c r="R95" t="inlineStr"/>
      <c r="S95" t="inlineStr"/>
    </row>
    <row r="96">
      <c r="A96" t="inlineStr">
        <is>
          <t>Dev</t>
        </is>
      </c>
      <c r="B96" s="28" t="inlineStr">
        <is>
          <t>FILTER-12306</t>
        </is>
      </c>
      <c r="C96" s="20" t="inlineStr">
        <is>
          <t>[Filter] Creation &amp; Consumption of json Translations in Settings</t>
        </is>
      </c>
      <c r="D96" t="inlineStr">
        <is>
          <t>FILTER-12305</t>
        </is>
      </c>
      <c r="E96" t="inlineStr">
        <is>
          <t>Story</t>
        </is>
      </c>
      <c r="F96" t="inlineStr">
        <is>
          <t>Harshada Kude</t>
        </is>
      </c>
      <c r="G96" t="inlineStr">
        <is>
          <t>Done</t>
        </is>
      </c>
      <c r="H96" t="inlineStr"/>
      <c r="I96" t="inlineStr">
        <is>
          <t>P3</t>
        </is>
      </c>
      <c r="J96" s="29" t="n">
        <v>46083</v>
      </c>
      <c r="L96" s="29" t="n">
        <v>46118</v>
      </c>
      <c r="M96" t="inlineStr">
        <is>
          <t>sprint-Fay</t>
        </is>
      </c>
      <c r="N96" s="11" t="n">
        <v>10</v>
      </c>
      <c r="O96" s="11" t="n">
        <v>8</v>
      </c>
      <c r="P96" t="inlineStr">
        <is>
          <t>FILTER</t>
        </is>
      </c>
      <c r="Q96" t="inlineStr"/>
      <c r="R96" t="inlineStr"/>
      <c r="S96" t="inlineStr"/>
    </row>
    <row r="97">
      <c r="A97" t="inlineStr">
        <is>
          <t>Dev</t>
        </is>
      </c>
      <c r="B97" s="28" t="inlineStr">
        <is>
          <t>FILTER-12308</t>
        </is>
      </c>
      <c r="C97" s="20" t="inlineStr">
        <is>
          <t>[Filter] Creation &amp; Consumption of json Translations in Remaining portion of Policy Map</t>
        </is>
      </c>
      <c r="D97" t="inlineStr">
        <is>
          <t>FILTER-12307</t>
        </is>
      </c>
      <c r="E97" t="inlineStr">
        <is>
          <t>Story</t>
        </is>
      </c>
      <c r="F97" t="inlineStr">
        <is>
          <t>Harshada Kude</t>
        </is>
      </c>
      <c r="G97" t="inlineStr">
        <is>
          <t>Done</t>
        </is>
      </c>
      <c r="H97" t="inlineStr"/>
      <c r="I97" t="inlineStr">
        <is>
          <t>P3</t>
        </is>
      </c>
      <c r="J97" s="29" t="n">
        <v>46083</v>
      </c>
      <c r="L97" s="29" t="n">
        <v>46118</v>
      </c>
      <c r="M97" t="inlineStr">
        <is>
          <t>sprint-Fay</t>
        </is>
      </c>
      <c r="N97" s="11" t="n">
        <v>12</v>
      </c>
      <c r="O97" s="11" t="n">
        <v>10</v>
      </c>
      <c r="P97" t="inlineStr">
        <is>
          <t>FILTER</t>
        </is>
      </c>
      <c r="Q97" t="inlineStr"/>
      <c r="R97" t="inlineStr"/>
      <c r="S97" t="inlineStr"/>
    </row>
    <row r="98">
      <c r="A98" t="inlineStr">
        <is>
          <t>Dev</t>
        </is>
      </c>
      <c r="B98" s="28" t="inlineStr">
        <is>
          <t>FILTER-12310</t>
        </is>
      </c>
      <c r="C98" s="20" t="inlineStr">
        <is>
          <t>[Filter] Cross check Filter Application Other Remaining instances of | translate or instant - Part 2</t>
        </is>
      </c>
      <c r="D98" t="inlineStr">
        <is>
          <t>FILTER-12311</t>
        </is>
      </c>
      <c r="E98" t="inlineStr">
        <is>
          <t>Story</t>
        </is>
      </c>
      <c r="F98" t="inlineStr">
        <is>
          <t>Harshada Kude</t>
        </is>
      </c>
      <c r="G98" t="inlineStr">
        <is>
          <t>Done</t>
        </is>
      </c>
      <c r="H98" t="inlineStr"/>
      <c r="I98" t="inlineStr">
        <is>
          <t>P3</t>
        </is>
      </c>
      <c r="J98" s="29" t="n">
        <v>46083</v>
      </c>
      <c r="L98" s="29" t="n">
        <v>46118</v>
      </c>
      <c r="M98" t="inlineStr">
        <is>
          <t>sprint-Fay</t>
        </is>
      </c>
      <c r="N98" s="11" t="n">
        <v>12</v>
      </c>
      <c r="O98" s="11" t="n">
        <v>10</v>
      </c>
      <c r="P98" t="inlineStr">
        <is>
          <t>FILTER</t>
        </is>
      </c>
      <c r="Q98" t="inlineStr"/>
      <c r="R98" t="inlineStr"/>
      <c r="S98" t="inlineStr"/>
    </row>
    <row r="99">
      <c r="A99" t="inlineStr">
        <is>
          <t>Dev</t>
        </is>
      </c>
      <c r="B99" s="28" t="inlineStr">
        <is>
          <t>FILTER-12312</t>
        </is>
      </c>
      <c r="C99" s="20" t="inlineStr">
        <is>
          <t>[Filter] Cross check Filter Application Other Remaining instances of | translate or instant</t>
        </is>
      </c>
      <c r="D99" t="inlineStr">
        <is>
          <t>FILTER-12311</t>
        </is>
      </c>
      <c r="E99" t="inlineStr">
        <is>
          <t>Story</t>
        </is>
      </c>
      <c r="F99" t="inlineStr">
        <is>
          <t>Harshada Kude</t>
        </is>
      </c>
      <c r="G99" t="inlineStr">
        <is>
          <t>Done</t>
        </is>
      </c>
      <c r="H99" t="inlineStr"/>
      <c r="I99" t="inlineStr">
        <is>
          <t>P3</t>
        </is>
      </c>
      <c r="J99" s="29" t="n">
        <v>46083</v>
      </c>
      <c r="L99" s="29" t="n">
        <v>46118</v>
      </c>
      <c r="M99" t="inlineStr">
        <is>
          <t>sprint-Fay</t>
        </is>
      </c>
      <c r="N99" s="11" t="n">
        <v>6</v>
      </c>
      <c r="O99" s="11" t="n">
        <v>6</v>
      </c>
      <c r="P99" t="inlineStr">
        <is>
          <t>FILTER</t>
        </is>
      </c>
      <c r="Q99" t="inlineStr"/>
      <c r="R99" t="inlineStr"/>
      <c r="S99" t="inlineStr"/>
    </row>
    <row r="100">
      <c r="A100" t="inlineStr">
        <is>
          <t>Dev</t>
        </is>
      </c>
      <c r="B100" s="28" t="inlineStr">
        <is>
          <t>FILTER-12367</t>
        </is>
      </c>
      <c r="C100" s="20" t="inlineStr">
        <is>
          <t>DEV - In prod: No, Global Navigation Labels and Profile Menu Labels Missing in RTQA4 and RTQA1</t>
        </is>
      </c>
      <c r="D100" t="inlineStr">
        <is>
          <t>FILTER-12366</t>
        </is>
      </c>
      <c r="E100" t="inlineStr">
        <is>
          <t>Defect</t>
        </is>
      </c>
      <c r="F100" t="inlineStr">
        <is>
          <t>Harshada Kude</t>
        </is>
      </c>
      <c r="G100" t="inlineStr">
        <is>
          <t>Done</t>
        </is>
      </c>
      <c r="H100" t="inlineStr"/>
      <c r="I100" t="inlineStr">
        <is>
          <t>P2</t>
        </is>
      </c>
      <c r="J100" s="29" t="n">
        <v>46086</v>
      </c>
      <c r="L100" s="29" t="n">
        <v>46104</v>
      </c>
      <c r="M100" t="inlineStr">
        <is>
          <t>sprint-Fay</t>
        </is>
      </c>
      <c r="N100" s="11" t="n">
        <v>2.5</v>
      </c>
      <c r="O100" s="11" t="n">
        <v>0.5</v>
      </c>
      <c r="P100" t="inlineStr">
        <is>
          <t>FILTER</t>
        </is>
      </c>
      <c r="Q100" t="inlineStr"/>
      <c r="R100" t="inlineStr"/>
      <c r="S100" t="inlineStr"/>
    </row>
    <row r="101">
      <c r="A101" t="inlineStr">
        <is>
          <t>Dev</t>
        </is>
      </c>
      <c r="B101" s="28" t="inlineStr">
        <is>
          <t>FILTER-12682</t>
        </is>
      </c>
      <c r="C101" s="20" t="inlineStr">
        <is>
          <t>DEV - Fix New Translation Strategy Related Issues</t>
        </is>
      </c>
      <c r="D101" t="inlineStr">
        <is>
          <t>FILTER-12681</t>
        </is>
      </c>
      <c r="E101" t="inlineStr">
        <is>
          <t>Task</t>
        </is>
      </c>
      <c r="F101" t="inlineStr">
        <is>
          <t>Harshada Kude</t>
        </is>
      </c>
      <c r="G101" t="inlineStr">
        <is>
          <t>Done</t>
        </is>
      </c>
      <c r="H101" t="inlineStr"/>
      <c r="I101" t="inlineStr">
        <is>
          <t>P3</t>
        </is>
      </c>
      <c r="J101" s="29" t="n">
        <v>46106</v>
      </c>
      <c r="L101" s="29" t="n">
        <v>46110</v>
      </c>
      <c r="M101" t="inlineStr">
        <is>
          <t>sprint-Fay</t>
        </is>
      </c>
      <c r="N101" s="11" t="n">
        <v>12</v>
      </c>
      <c r="O101" s="11" t="n">
        <v>12</v>
      </c>
      <c r="P101" t="inlineStr">
        <is>
          <t>FILTER</t>
        </is>
      </c>
      <c r="Q101" t="inlineStr"/>
      <c r="R101" t="inlineStr"/>
      <c r="S101" t="inlineStr"/>
    </row>
    <row r="102">
      <c r="A102" t="inlineStr">
        <is>
          <t>Dev</t>
        </is>
      </c>
      <c r="B102" s="28" t="inlineStr">
        <is>
          <t>FILTER-11659</t>
        </is>
      </c>
      <c r="C102" s="20" t="inlineStr">
        <is>
          <t>Phase 3 - Implement FluentD Changes for Tokenization (UserToken)</t>
        </is>
      </c>
      <c r="D102" t="inlineStr">
        <is>
          <t>FILTER-11631</t>
        </is>
      </c>
      <c r="E102" t="inlineStr">
        <is>
          <t>Story</t>
        </is>
      </c>
      <c r="F102" t="inlineStr">
        <is>
          <t>Prateek Fotedar</t>
        </is>
      </c>
      <c r="G102" t="inlineStr">
        <is>
          <t>Done</t>
        </is>
      </c>
      <c r="H102" t="inlineStr"/>
      <c r="I102" t="inlineStr">
        <is>
          <t>P3</t>
        </is>
      </c>
      <c r="J102" s="29" t="n">
        <v>46037</v>
      </c>
      <c r="L102" s="29" t="n">
        <v>46126</v>
      </c>
      <c r="M102" t="inlineStr">
        <is>
          <t>sprint-Fay</t>
        </is>
      </c>
      <c r="N102" s="11" t="n">
        <v>12</v>
      </c>
      <c r="O102" s="11" t="n">
        <v>12</v>
      </c>
      <c r="P102" t="inlineStr">
        <is>
          <t>FILTER</t>
        </is>
      </c>
      <c r="Q102" t="inlineStr">
        <is>
          <t>Capitalized-Feature</t>
        </is>
      </c>
      <c r="R102" t="inlineStr"/>
      <c r="S102" t="inlineStr"/>
    </row>
    <row r="103">
      <c r="A103" t="inlineStr">
        <is>
          <t>Dev</t>
        </is>
      </c>
      <c r="B103" s="28" t="inlineStr">
        <is>
          <t>FILTER-12195</t>
        </is>
      </c>
      <c r="C103" s="20" t="inlineStr">
        <is>
          <t>[BugCrowd] Remove unauthenticated beta FID management API (betaFids.php) to fix arbitrary add/remove of beta FIDs</t>
        </is>
      </c>
      <c r="D103" t="inlineStr">
        <is>
          <t>FILTER-12003</t>
        </is>
      </c>
      <c r="E103" t="inlineStr">
        <is>
          <t>Defect</t>
        </is>
      </c>
      <c r="F103" t="inlineStr">
        <is>
          <t>Prateek Fotedar</t>
        </is>
      </c>
      <c r="G103" t="inlineStr">
        <is>
          <t>Done</t>
        </is>
      </c>
      <c r="H103" t="inlineStr"/>
      <c r="I103" t="inlineStr">
        <is>
          <t>P3</t>
        </is>
      </c>
      <c r="J103" s="29" t="n">
        <v>46078</v>
      </c>
      <c r="L103" s="29" t="n">
        <v>46099</v>
      </c>
      <c r="M103" t="inlineStr">
        <is>
          <t>sprint-Fay</t>
        </is>
      </c>
      <c r="N103" s="11" t="n">
        <v>2</v>
      </c>
      <c r="O103" s="11" t="n">
        <v>2</v>
      </c>
      <c r="P103" t="inlineStr">
        <is>
          <t>FILTER</t>
        </is>
      </c>
      <c r="Q103" t="inlineStr"/>
      <c r="R103" t="inlineStr"/>
      <c r="S103" t="inlineStr"/>
    </row>
    <row r="104">
      <c r="A104" t="inlineStr">
        <is>
          <t>Dev</t>
        </is>
      </c>
      <c r="B104" s="28" t="inlineStr">
        <is>
          <t>FILTER-12301</t>
        </is>
      </c>
      <c r="C104" s="20" t="inlineStr">
        <is>
          <t>POST /api/custom-list allows Admin to create custom list with usage "GLOBAL" - should be rejected</t>
        </is>
      </c>
      <c r="D104" t="inlineStr">
        <is>
          <t>FILTER-11776</t>
        </is>
      </c>
      <c r="E104" t="inlineStr">
        <is>
          <t>Defect</t>
        </is>
      </c>
      <c r="F104" t="inlineStr">
        <is>
          <t>Prateek Fotedar</t>
        </is>
      </c>
      <c r="G104" t="inlineStr">
        <is>
          <t>Closed without action</t>
        </is>
      </c>
      <c r="H104" t="inlineStr"/>
      <c r="I104" t="inlineStr">
        <is>
          <t>P3</t>
        </is>
      </c>
      <c r="J104" s="29" t="n">
        <v>46082</v>
      </c>
      <c r="L104" s="29" t="n">
        <v>46136</v>
      </c>
      <c r="M104" t="inlineStr">
        <is>
          <t>sprint-Fay</t>
        </is>
      </c>
      <c r="N104" s="11" t="n">
        <v>0.5</v>
      </c>
      <c r="O104" s="11" t="n">
        <v>6</v>
      </c>
      <c r="P104" t="inlineStr">
        <is>
          <t>FILTER</t>
        </is>
      </c>
      <c r="Q104" t="inlineStr">
        <is>
          <t>Capitalized-Feature</t>
        </is>
      </c>
      <c r="R104" t="inlineStr"/>
      <c r="S104" t="inlineStr"/>
    </row>
    <row r="105">
      <c r="A105" t="inlineStr">
        <is>
          <t>Dev</t>
        </is>
      </c>
      <c r="B105" s="28" t="inlineStr">
        <is>
          <t>FILTER-12678</t>
        </is>
      </c>
      <c r="C105" s="20" t="inlineStr">
        <is>
          <t>DEV - Update if condition for scru cookie</t>
        </is>
      </c>
      <c r="D105" t="inlineStr">
        <is>
          <t>FILTER-12677</t>
        </is>
      </c>
      <c r="E105" t="inlineStr">
        <is>
          <t>Task</t>
        </is>
      </c>
      <c r="F105" t="inlineStr">
        <is>
          <t>Prateek Fotedar</t>
        </is>
      </c>
      <c r="G105" t="inlineStr">
        <is>
          <t>Done</t>
        </is>
      </c>
      <c r="H105" t="inlineStr"/>
      <c r="I105" t="inlineStr">
        <is>
          <t>P3</t>
        </is>
      </c>
      <c r="J105" s="29" t="n">
        <v>46106</v>
      </c>
      <c r="L105" s="29" t="n">
        <v>46106</v>
      </c>
      <c r="M105" t="inlineStr">
        <is>
          <t>sprint-Fay</t>
        </is>
      </c>
      <c r="N105" s="11" t="n">
        <v>1</v>
      </c>
      <c r="O105" s="11" t="n">
        <v>1</v>
      </c>
      <c r="P105" t="inlineStr">
        <is>
          <t>FILTER</t>
        </is>
      </c>
      <c r="Q105" t="inlineStr"/>
      <c r="R105" t="inlineStr"/>
      <c r="S105" t="inlineStr"/>
    </row>
    <row r="106">
      <c r="A106" t="inlineStr">
        <is>
          <t>QA</t>
        </is>
      </c>
      <c r="B106" s="28" t="inlineStr">
        <is>
          <t>FILTER-12679</t>
        </is>
      </c>
      <c r="C106" s="20" t="inlineStr">
        <is>
          <t>QA- Update if condition for scru cookie</t>
        </is>
      </c>
      <c r="D106" t="inlineStr">
        <is>
          <t>FILTER-12677</t>
        </is>
      </c>
      <c r="E106" t="inlineStr">
        <is>
          <t>Task</t>
        </is>
      </c>
      <c r="F106" t="inlineStr">
        <is>
          <t>Prateek Fotedar</t>
        </is>
      </c>
      <c r="G106" t="inlineStr">
        <is>
          <t>Closed without action</t>
        </is>
      </c>
      <c r="H106" t="inlineStr"/>
      <c r="I106" t="inlineStr">
        <is>
          <t>P3</t>
        </is>
      </c>
      <c r="J106" s="29" t="n">
        <v>46106</v>
      </c>
      <c r="L106" s="29" t="n">
        <v>46107</v>
      </c>
      <c r="M106" t="inlineStr">
        <is>
          <t>sprint-Fay</t>
        </is>
      </c>
      <c r="N106" s="11" t="n">
        <v>0</v>
      </c>
      <c r="O106" s="11" t="n">
        <v>1</v>
      </c>
      <c r="P106" t="inlineStr">
        <is>
          <t>FILTER</t>
        </is>
      </c>
      <c r="Q106" t="inlineStr"/>
      <c r="R106" t="inlineStr"/>
      <c r="S106" t="inlineStr"/>
    </row>
    <row r="107">
      <c r="A107" t="inlineStr">
        <is>
          <t>Dev</t>
        </is>
      </c>
      <c r="B107" s="28" t="inlineStr">
        <is>
          <t>FILTER-12797</t>
        </is>
      </c>
      <c r="C107" s="20" t="inlineStr">
        <is>
          <t>DEV - Update Cron Job for tokenization</t>
        </is>
      </c>
      <c r="D107" t="inlineStr">
        <is>
          <t>FILTER-12796</t>
        </is>
      </c>
      <c r="E107" t="inlineStr">
        <is>
          <t>Task</t>
        </is>
      </c>
      <c r="F107" t="inlineStr">
        <is>
          <t>Prateek Fotedar</t>
        </is>
      </c>
      <c r="G107" t="inlineStr">
        <is>
          <t>Done</t>
        </is>
      </c>
      <c r="H107" t="inlineStr"/>
      <c r="I107" t="inlineStr">
        <is>
          <t>P3</t>
        </is>
      </c>
      <c r="J107" s="29" t="n">
        <v>46108</v>
      </c>
      <c r="L107" s="29" t="n">
        <v>46126</v>
      </c>
      <c r="M107" t="inlineStr">
        <is>
          <t>sprint-Fay</t>
        </is>
      </c>
      <c r="N107" s="11" t="n">
        <v>6</v>
      </c>
      <c r="O107" s="11" t="n">
        <v>6</v>
      </c>
      <c r="P107" t="inlineStr">
        <is>
          <t>FILTER</t>
        </is>
      </c>
      <c r="Q107" t="inlineStr"/>
      <c r="R107" t="inlineStr"/>
      <c r="S107" t="inlineStr"/>
    </row>
    <row r="108">
      <c r="A108" t="inlineStr">
        <is>
          <t>Dev</t>
        </is>
      </c>
      <c r="B108" s="28" t="inlineStr">
        <is>
          <t>FILTER-11896</t>
        </is>
      </c>
      <c r="C108" s="20" t="inlineStr">
        <is>
          <t>Vector Expansion - Add http://kiddle.co/ to search scanning</t>
        </is>
      </c>
      <c r="D108" t="inlineStr">
        <is>
          <t>FILTER-11895</t>
        </is>
      </c>
      <c r="E108" t="inlineStr">
        <is>
          <t>Story</t>
        </is>
      </c>
      <c r="F108" t="inlineStr">
        <is>
          <t>Pratik Tiwari</t>
        </is>
      </c>
      <c r="G108" t="inlineStr">
        <is>
          <t>Done</t>
        </is>
      </c>
      <c r="H108" t="inlineStr"/>
      <c r="I108" t="inlineStr">
        <is>
          <t>P2</t>
        </is>
      </c>
      <c r="J108" s="29" t="n">
        <v>46051</v>
      </c>
      <c r="L108" s="29" t="n">
        <v>46118</v>
      </c>
      <c r="M108" t="inlineStr">
        <is>
          <t>sprint-Fay</t>
        </is>
      </c>
      <c r="N108" s="11" t="n">
        <v>10</v>
      </c>
      <c r="O108" s="11" t="n">
        <v>10</v>
      </c>
      <c r="P108" t="inlineStr">
        <is>
          <t>FILTER</t>
        </is>
      </c>
      <c r="Q108" t="inlineStr"/>
      <c r="R108" t="inlineStr"/>
      <c r="S108" t="inlineStr"/>
    </row>
    <row r="109">
      <c r="A109" t="inlineStr">
        <is>
          <t>Dev</t>
        </is>
      </c>
      <c r="B109" s="28" t="inlineStr">
        <is>
          <t>FILTER-12074</t>
        </is>
      </c>
      <c r="C109" s="20" t="inlineStr">
        <is>
          <t>[sprox] Bench-marking of Sprox request - Time, CPU and Memory</t>
        </is>
      </c>
      <c r="D109" t="inlineStr">
        <is>
          <t>FILTER-12071</t>
        </is>
      </c>
      <c r="E109" t="inlineStr">
        <is>
          <t>Story</t>
        </is>
      </c>
      <c r="F109" t="inlineStr">
        <is>
          <t>Pratik Tiwari</t>
        </is>
      </c>
      <c r="G109" t="inlineStr">
        <is>
          <t>Done</t>
        </is>
      </c>
      <c r="H109" t="inlineStr"/>
      <c r="I109" t="inlineStr">
        <is>
          <t>P3</t>
        </is>
      </c>
      <c r="J109" s="29" t="n">
        <v>46070</v>
      </c>
      <c r="L109" s="29" t="n">
        <v>46099</v>
      </c>
      <c r="M109" t="inlineStr">
        <is>
          <t>sprint-Fay</t>
        </is>
      </c>
      <c r="N109" s="11" t="n">
        <v>24</v>
      </c>
      <c r="O109" s="11" t="n">
        <v>10</v>
      </c>
      <c r="P109" t="inlineStr">
        <is>
          <t>FILTER</t>
        </is>
      </c>
      <c r="Q109" t="inlineStr"/>
      <c r="R109" t="inlineStr"/>
      <c r="S109" t="inlineStr"/>
    </row>
    <row r="110">
      <c r="A110" t="inlineStr">
        <is>
          <t>Dev</t>
        </is>
      </c>
      <c r="B110" s="28" t="inlineStr">
        <is>
          <t>FILTER-12165</t>
        </is>
      </c>
      <c r="C110" s="20" t="inlineStr">
        <is>
          <t>Block W3Schools (and similar) HTML sandbox bypass via CDN/third-party iframe loading (e.g. jsdelivr, Vercel, W3Spaces)</t>
        </is>
      </c>
      <c r="D110" t="inlineStr">
        <is>
          <t>FILTER-12093</t>
        </is>
      </c>
      <c r="E110" t="inlineStr">
        <is>
          <t>Escape Defect</t>
        </is>
      </c>
      <c r="F110" t="inlineStr">
        <is>
          <t>Pratik Tiwari</t>
        </is>
      </c>
      <c r="G110" t="inlineStr">
        <is>
          <t>Done</t>
        </is>
      </c>
      <c r="H110" t="inlineStr"/>
      <c r="I110" t="inlineStr">
        <is>
          <t>P1</t>
        </is>
      </c>
      <c r="J110" s="29" t="n">
        <v>46077</v>
      </c>
      <c r="L110" s="29" t="n">
        <v>46118</v>
      </c>
      <c r="M110" t="inlineStr">
        <is>
          <t>sprint-Fay</t>
        </is>
      </c>
      <c r="N110" s="11" t="n">
        <v>16</v>
      </c>
      <c r="O110" s="11" t="n">
        <v>13</v>
      </c>
      <c r="P110" t="inlineStr">
        <is>
          <t>FILTER</t>
        </is>
      </c>
      <c r="Q110" t="inlineStr"/>
      <c r="R110" t="inlineStr"/>
      <c r="S110" t="inlineStr"/>
    </row>
    <row r="111">
      <c r="A111" t="inlineStr">
        <is>
          <t>Dev</t>
        </is>
      </c>
      <c r="B111" s="28" t="inlineStr">
        <is>
          <t>FILTER-12456</t>
        </is>
      </c>
      <c r="C111" s="20" t="inlineStr">
        <is>
          <t>DEV - Filter bypass by taping on a link from Google Search - Crxtn</t>
        </is>
      </c>
      <c r="D111" t="inlineStr">
        <is>
          <t>FILTER-12455</t>
        </is>
      </c>
      <c r="E111" t="inlineStr">
        <is>
          <t>Escape Defect</t>
        </is>
      </c>
      <c r="F111" t="inlineStr">
        <is>
          <t>Pratik Tiwari</t>
        </is>
      </c>
      <c r="G111" t="inlineStr">
        <is>
          <t>Done</t>
        </is>
      </c>
      <c r="H111" t="inlineStr"/>
      <c r="I111" t="inlineStr">
        <is>
          <t>P1</t>
        </is>
      </c>
      <c r="J111" s="29" t="n">
        <v>46093</v>
      </c>
      <c r="L111" s="29" t="n">
        <v>46126</v>
      </c>
      <c r="M111" t="inlineStr">
        <is>
          <t>sprint-Fay</t>
        </is>
      </c>
      <c r="N111" s="11" t="n">
        <v>16</v>
      </c>
      <c r="O111" s="11" t="n">
        <v>16</v>
      </c>
      <c r="P111" t="inlineStr">
        <is>
          <t>FILTER</t>
        </is>
      </c>
      <c r="Q111" t="inlineStr"/>
      <c r="R111" t="inlineStr"/>
      <c r="S111" t="inlineStr"/>
    </row>
    <row r="112">
      <c r="A112" t="inlineStr">
        <is>
          <t>Dev</t>
        </is>
      </c>
      <c r="B112" s="28" t="inlineStr">
        <is>
          <t>FILTER-12335</t>
        </is>
      </c>
      <c r="C112" s="20" t="inlineStr">
        <is>
          <t>Captcha analysis and logging integration</t>
        </is>
      </c>
      <c r="D112" t="inlineStr">
        <is>
          <t>FILTER-12334</t>
        </is>
      </c>
      <c r="E112" t="inlineStr">
        <is>
          <t>Story</t>
        </is>
      </c>
      <c r="F112" t="inlineStr">
        <is>
          <t>Ravi Raj</t>
        </is>
      </c>
      <c r="G112" t="inlineStr">
        <is>
          <t>Done</t>
        </is>
      </c>
      <c r="H112" t="inlineStr"/>
      <c r="I112" t="inlineStr">
        <is>
          <t>P3</t>
        </is>
      </c>
      <c r="J112" s="29" t="n">
        <v>46083</v>
      </c>
      <c r="L112" s="29" t="n">
        <v>46111</v>
      </c>
      <c r="M112" t="inlineStr">
        <is>
          <t>sprint-Fay</t>
        </is>
      </c>
      <c r="N112" s="11" t="n">
        <v>16</v>
      </c>
      <c r="O112" s="11" t="n">
        <v>16</v>
      </c>
      <c r="P112" t="inlineStr">
        <is>
          <t>FILTER</t>
        </is>
      </c>
      <c r="Q112" t="inlineStr"/>
      <c r="R112" t="inlineStr"/>
      <c r="S112" t="inlineStr"/>
    </row>
    <row r="113">
      <c r="A113" t="inlineStr">
        <is>
          <t>Dev</t>
        </is>
      </c>
      <c r="B113" s="28" t="inlineStr">
        <is>
          <t>FILTER-12337</t>
        </is>
      </c>
      <c r="C113" s="20" t="inlineStr">
        <is>
          <t>[sprox] Logging module integration</t>
        </is>
      </c>
      <c r="D113" t="inlineStr">
        <is>
          <t>FILTER-12332</t>
        </is>
      </c>
      <c r="E113" t="inlineStr">
        <is>
          <t>Story</t>
        </is>
      </c>
      <c r="F113" t="inlineStr">
        <is>
          <t>Ravi Raj</t>
        </is>
      </c>
      <c r="G113" t="inlineStr">
        <is>
          <t>Done</t>
        </is>
      </c>
      <c r="H113" t="inlineStr"/>
      <c r="I113" t="inlineStr">
        <is>
          <t>P3</t>
        </is>
      </c>
      <c r="J113" s="29" t="n">
        <v>46084</v>
      </c>
      <c r="L113" s="29" t="n">
        <v>46099</v>
      </c>
      <c r="M113" t="inlineStr">
        <is>
          <t>sprint-Fay</t>
        </is>
      </c>
      <c r="N113" s="11" t="n">
        <v>16</v>
      </c>
      <c r="O113" s="11" t="n">
        <v>16</v>
      </c>
      <c r="P113" t="inlineStr">
        <is>
          <t>FILTER</t>
        </is>
      </c>
      <c r="Q113" t="inlineStr"/>
      <c r="R113" t="inlineStr"/>
      <c r="S113" t="inlineStr"/>
    </row>
    <row r="114">
      <c r="A114" t="inlineStr">
        <is>
          <t>Dev</t>
        </is>
      </c>
      <c r="B114" s="28" t="inlineStr">
        <is>
          <t>FILTER-11548</t>
        </is>
      </c>
      <c r="C114" s="20" t="inlineStr">
        <is>
          <t>Reopened - Dev Task -InProd:Yes, Blocked Email Activity is coming twice with crextn</t>
        </is>
      </c>
      <c r="D114" t="inlineStr">
        <is>
          <t>FILTER-8474</t>
        </is>
      </c>
      <c r="E114" t="inlineStr">
        <is>
          <t>Escape Defect</t>
        </is>
      </c>
      <c r="F114" t="inlineStr">
        <is>
          <t>Sagar Satpute</t>
        </is>
      </c>
      <c r="G114" t="inlineStr">
        <is>
          <t>Closed without action</t>
        </is>
      </c>
      <c r="H114" t="inlineStr"/>
      <c r="I114" t="inlineStr">
        <is>
          <t>P3</t>
        </is>
      </c>
      <c r="J114" s="29" t="n">
        <v>46012</v>
      </c>
      <c r="L114" s="29" t="n">
        <v>46099</v>
      </c>
      <c r="M114" t="inlineStr">
        <is>
          <t>sprint-Fay</t>
        </is>
      </c>
      <c r="N114" s="11" t="n">
        <v>0</v>
      </c>
      <c r="O114" s="11" t="n">
        <v>2</v>
      </c>
      <c r="P114" t="inlineStr">
        <is>
          <t>FILTER</t>
        </is>
      </c>
      <c r="Q114" t="inlineStr"/>
      <c r="R114" t="inlineStr"/>
      <c r="S114" t="inlineStr"/>
    </row>
    <row r="115">
      <c r="A115" t="inlineStr">
        <is>
          <t>Dev</t>
        </is>
      </c>
      <c r="B115" s="28" t="inlineStr">
        <is>
          <t>FILTER-11977</t>
        </is>
      </c>
      <c r="C115" s="20" t="inlineStr">
        <is>
          <t>Implement audit logging for subscriptionType and accountExpiry (Support Tool + cron)</t>
        </is>
      </c>
      <c r="D115" t="inlineStr">
        <is>
          <t>FILTER-11976</t>
        </is>
      </c>
      <c r="E115" t="inlineStr">
        <is>
          <t>Task</t>
        </is>
      </c>
      <c r="F115" t="inlineStr">
        <is>
          <t>Sagar Satpute</t>
        </is>
      </c>
      <c r="G115" t="inlineStr">
        <is>
          <t>Done</t>
        </is>
      </c>
      <c r="H115" t="inlineStr"/>
      <c r="I115" t="inlineStr">
        <is>
          <t>P3</t>
        </is>
      </c>
      <c r="J115" s="29" t="n">
        <v>46058</v>
      </c>
      <c r="L115" s="29" t="n">
        <v>46128</v>
      </c>
      <c r="M115" t="inlineStr">
        <is>
          <t>sprint-Fay</t>
        </is>
      </c>
      <c r="N115" s="11" t="n">
        <v>13</v>
      </c>
      <c r="O115" s="11" t="n">
        <v>21</v>
      </c>
      <c r="P115" t="inlineStr">
        <is>
          <t>FILTER</t>
        </is>
      </c>
      <c r="Q115" t="inlineStr"/>
      <c r="R115" t="inlineStr"/>
      <c r="S115" t="inlineStr"/>
    </row>
    <row r="116">
      <c r="A116" t="inlineStr">
        <is>
          <t>Dev</t>
        </is>
      </c>
      <c r="B116" s="28" t="inlineStr">
        <is>
          <t>FILTER-12349</t>
        </is>
      </c>
      <c r="C116" s="20" t="inlineStr">
        <is>
          <t>Support Tool: Improve search and display of FIDs (include FIDs without primary/sub domain)</t>
        </is>
      </c>
      <c r="D116" t="inlineStr">
        <is>
          <t>FILTER-5401</t>
        </is>
      </c>
      <c r="E116" t="inlineStr">
        <is>
          <t>Task</t>
        </is>
      </c>
      <c r="F116" t="inlineStr">
        <is>
          <t>Sagar Satpute</t>
        </is>
      </c>
      <c r="G116" t="inlineStr">
        <is>
          <t>Done</t>
        </is>
      </c>
      <c r="H116" t="inlineStr"/>
      <c r="I116" t="inlineStr">
        <is>
          <t>P3</t>
        </is>
      </c>
      <c r="J116" s="29" t="n">
        <v>46084</v>
      </c>
      <c r="L116" s="29" t="n">
        <v>46133</v>
      </c>
      <c r="M116" t="inlineStr">
        <is>
          <t>sprint-Fay</t>
        </is>
      </c>
      <c r="N116" s="11" t="n">
        <v>5</v>
      </c>
      <c r="O116" s="11" t="n">
        <v>5</v>
      </c>
      <c r="P116" t="inlineStr">
        <is>
          <t>FILTER</t>
        </is>
      </c>
      <c r="Q116" t="inlineStr"/>
      <c r="R116" t="inlineStr"/>
      <c r="S116" t="inlineStr"/>
    </row>
    <row r="117">
      <c r="A117" t="inlineStr">
        <is>
          <t>Dev</t>
        </is>
      </c>
      <c r="B117" s="28" t="inlineStr">
        <is>
          <t>FILTER-12352</t>
        </is>
      </c>
      <c r="C117" s="20" t="inlineStr">
        <is>
          <t>Support Tool: Include FIDs with no domain/sub-domain in search results</t>
        </is>
      </c>
      <c r="D117" t="inlineStr">
        <is>
          <t>FILTER-5679</t>
        </is>
      </c>
      <c r="E117" t="inlineStr">
        <is>
          <t>Task</t>
        </is>
      </c>
      <c r="F117" t="inlineStr">
        <is>
          <t>Sagar Satpute</t>
        </is>
      </c>
      <c r="G117" t="inlineStr">
        <is>
          <t>Done</t>
        </is>
      </c>
      <c r="H117" t="inlineStr"/>
      <c r="I117" t="inlineStr">
        <is>
          <t>P3</t>
        </is>
      </c>
      <c r="J117" s="29" t="n">
        <v>46084</v>
      </c>
      <c r="L117" s="29" t="n">
        <v>46133</v>
      </c>
      <c r="M117" t="inlineStr">
        <is>
          <t>sprint-Fay</t>
        </is>
      </c>
      <c r="N117" s="11" t="n">
        <v>5</v>
      </c>
      <c r="O117" s="11" t="n">
        <v>5</v>
      </c>
      <c r="P117" t="inlineStr">
        <is>
          <t>FILTER</t>
        </is>
      </c>
      <c r="Q117" t="inlineStr"/>
      <c r="R117" t="inlineStr"/>
      <c r="S117" t="inlineStr"/>
    </row>
    <row r="118">
      <c r="A118" t="inlineStr">
        <is>
          <t>Dev</t>
        </is>
      </c>
      <c r="B118" s="28" t="inlineStr">
        <is>
          <t>FILTER-12594</t>
        </is>
      </c>
      <c r="C118" s="20" t="inlineStr">
        <is>
          <t>Create a script to Remove google.com from existing customer (list shared in ticket)</t>
        </is>
      </c>
      <c r="D118" t="inlineStr">
        <is>
          <t>FILTER-12573</t>
        </is>
      </c>
      <c r="E118" t="inlineStr">
        <is>
          <t>Escape Defect</t>
        </is>
      </c>
      <c r="F118" t="inlineStr">
        <is>
          <t>Sagar Satpute</t>
        </is>
      </c>
      <c r="G118" t="inlineStr">
        <is>
          <t>Done</t>
        </is>
      </c>
      <c r="H118" t="inlineStr"/>
      <c r="I118" t="inlineStr">
        <is>
          <t>P0</t>
        </is>
      </c>
      <c r="J118" s="29" t="n">
        <v>46101</v>
      </c>
      <c r="L118" s="29" t="n">
        <v>46101</v>
      </c>
      <c r="M118" t="inlineStr">
        <is>
          <t>sprint-Fay</t>
        </is>
      </c>
      <c r="N118" s="11" t="n">
        <v>7</v>
      </c>
      <c r="O118" s="11" t="n">
        <v>5</v>
      </c>
      <c r="P118" t="inlineStr">
        <is>
          <t>FILTER</t>
        </is>
      </c>
      <c r="Q118" t="inlineStr"/>
      <c r="R118" t="inlineStr"/>
      <c r="S118" t="inlineStr"/>
    </row>
    <row r="119">
      <c r="A119" t="inlineStr">
        <is>
          <t>Dev</t>
        </is>
      </c>
      <c r="B119" s="28" t="inlineStr">
        <is>
          <t>FILTER-12596</t>
        </is>
      </c>
      <c r="C119" s="20" t="inlineStr">
        <is>
          <t>Add validation in support tool so that google.com (even through csv upload)</t>
        </is>
      </c>
      <c r="D119" t="inlineStr">
        <is>
          <t>FILTER-12573</t>
        </is>
      </c>
      <c r="E119" t="inlineStr">
        <is>
          <t>Escape Defect</t>
        </is>
      </c>
      <c r="F119" t="inlineStr">
        <is>
          <t>Sagar Satpute</t>
        </is>
      </c>
      <c r="G119" t="inlineStr">
        <is>
          <t>Done</t>
        </is>
      </c>
      <c r="H119" t="inlineStr"/>
      <c r="I119" t="inlineStr">
        <is>
          <t>P0</t>
        </is>
      </c>
      <c r="J119" s="29" t="n">
        <v>46101</v>
      </c>
      <c r="L119" s="29" t="n">
        <v>46101</v>
      </c>
      <c r="M119" t="inlineStr">
        <is>
          <t>sprint-Fay</t>
        </is>
      </c>
      <c r="N119" s="11" t="n">
        <v>6</v>
      </c>
      <c r="O119" s="11" t="n">
        <v>6</v>
      </c>
      <c r="P119" t="inlineStr">
        <is>
          <t>FILTER</t>
        </is>
      </c>
      <c r="Q119" t="inlineStr"/>
      <c r="R119" t="inlineStr"/>
      <c r="S119" t="inlineStr"/>
    </row>
    <row r="120">
      <c r="A120" t="inlineStr">
        <is>
          <t>Dev</t>
        </is>
      </c>
      <c r="B120" s="28" t="inlineStr">
        <is>
          <t>FILTER-12603</t>
        </is>
      </c>
      <c r="C120" s="20" t="inlineStr">
        <is>
          <t xml:space="preserve">DEV - (Intermediate issue): Google domains added to allow/block list during simultaneous CSV uploads across policies </t>
        </is>
      </c>
      <c r="D120" t="inlineStr">
        <is>
          <t>FILTER-12602</t>
        </is>
      </c>
      <c r="E120" t="inlineStr">
        <is>
          <t>Defect</t>
        </is>
      </c>
      <c r="F120" t="inlineStr">
        <is>
          <t>Sagar Satpute</t>
        </is>
      </c>
      <c r="G120" t="inlineStr">
        <is>
          <t>Closed without action</t>
        </is>
      </c>
      <c r="H120" t="inlineStr"/>
      <c r="I120" t="inlineStr">
        <is>
          <t>P2</t>
        </is>
      </c>
      <c r="J120" s="29" t="n">
        <v>46101</v>
      </c>
      <c r="L120" s="29" t="n">
        <v>46104</v>
      </c>
      <c r="M120" t="inlineStr">
        <is>
          <t>sprint-Fay</t>
        </is>
      </c>
      <c r="N120" s="11" t="n">
        <v>3</v>
      </c>
      <c r="O120" s="11" t="n">
        <v>3</v>
      </c>
      <c r="P120" t="inlineStr">
        <is>
          <t>FILTER</t>
        </is>
      </c>
      <c r="Q120" t="inlineStr"/>
      <c r="R120" t="inlineStr"/>
      <c r="S120" t="inlineStr"/>
    </row>
    <row r="121">
      <c r="A121" t="inlineStr">
        <is>
          <t>Dev</t>
        </is>
      </c>
      <c r="B121" s="28" t="inlineStr">
        <is>
          <t>FILTER-12607</t>
        </is>
      </c>
      <c r="C121" s="20" t="inlineStr">
        <is>
          <t>DEV - Restricted Google domain can be added when DNS Allow List toggle is OFF</t>
        </is>
      </c>
      <c r="D121" t="inlineStr">
        <is>
          <t>FILTER-12606</t>
        </is>
      </c>
      <c r="E121" t="inlineStr">
        <is>
          <t>Defect</t>
        </is>
      </c>
      <c r="F121" t="inlineStr">
        <is>
          <t>Sagar Satpute</t>
        </is>
      </c>
      <c r="G121" t="inlineStr">
        <is>
          <t>Closed without action</t>
        </is>
      </c>
      <c r="H121" t="inlineStr"/>
      <c r="I121" t="inlineStr">
        <is>
          <t>P2</t>
        </is>
      </c>
      <c r="J121" s="29" t="n">
        <v>46101</v>
      </c>
      <c r="L121" s="29" t="n">
        <v>46104</v>
      </c>
      <c r="M121" t="inlineStr">
        <is>
          <t>sprint-Fay</t>
        </is>
      </c>
      <c r="N121" s="11" t="n">
        <v>2</v>
      </c>
      <c r="O121" s="11" t="n">
        <v>2</v>
      </c>
      <c r="P121" t="inlineStr">
        <is>
          <t>FILTER</t>
        </is>
      </c>
      <c r="Q121" t="inlineStr"/>
      <c r="R121" t="inlineStr"/>
      <c r="S121" t="inlineStr"/>
    </row>
    <row r="122">
      <c r="A122" t="inlineStr">
        <is>
          <t>Dev</t>
        </is>
      </c>
      <c r="B122" s="28" t="inlineStr">
        <is>
          <t>FILTER-12698</t>
        </is>
      </c>
      <c r="C122" s="20" t="inlineStr">
        <is>
          <t>DEV - Investigate and fix case generation for On-Call demo data</t>
        </is>
      </c>
      <c r="D122" t="inlineStr">
        <is>
          <t>FILTER-12697</t>
        </is>
      </c>
      <c r="E122" t="inlineStr">
        <is>
          <t>Task</t>
        </is>
      </c>
      <c r="F122" t="inlineStr">
        <is>
          <t>Sagar Satpute</t>
        </is>
      </c>
      <c r="G122" t="inlineStr">
        <is>
          <t>Done</t>
        </is>
      </c>
      <c r="H122" t="inlineStr"/>
      <c r="I122" t="inlineStr">
        <is>
          <t>P3</t>
        </is>
      </c>
      <c r="J122" s="29" t="n">
        <v>46107</v>
      </c>
      <c r="L122" s="29" t="n">
        <v>46107</v>
      </c>
      <c r="M122" t="inlineStr">
        <is>
          <t>sprint-Fay</t>
        </is>
      </c>
      <c r="N122" s="11" t="n">
        <v>4</v>
      </c>
      <c r="O122" s="11" t="n">
        <v>4</v>
      </c>
      <c r="P122" t="inlineStr">
        <is>
          <t>FILTER</t>
        </is>
      </c>
      <c r="Q122" t="inlineStr"/>
      <c r="R122" t="inlineStr"/>
      <c r="S122" t="inlineStr"/>
    </row>
    <row r="123">
      <c r="A123" t="inlineStr">
        <is>
          <t>Dev</t>
        </is>
      </c>
      <c r="B123" s="28" t="inlineStr">
        <is>
          <t>PTGM-664</t>
        </is>
      </c>
      <c r="C123" s="20" t="inlineStr">
        <is>
          <t>Fix linter errors in www-support-tool repo</t>
        </is>
      </c>
      <c r="D123" t="inlineStr">
        <is>
          <t>PTGM-666</t>
        </is>
      </c>
      <c r="E123" t="inlineStr">
        <is>
          <t>Story</t>
        </is>
      </c>
      <c r="F123" t="inlineStr">
        <is>
          <t>Sagar Satpute</t>
        </is>
      </c>
      <c r="G123" t="inlineStr">
        <is>
          <t>Done</t>
        </is>
      </c>
      <c r="H123" t="inlineStr"/>
      <c r="I123" t="inlineStr">
        <is>
          <t>P2</t>
        </is>
      </c>
      <c r="J123" s="29" t="n">
        <v>46027</v>
      </c>
      <c r="L123" s="29" t="n">
        <v>46126</v>
      </c>
      <c r="M123" t="inlineStr">
        <is>
          <t>sprint-Fay</t>
        </is>
      </c>
      <c r="N123" s="11" t="n">
        <v>18</v>
      </c>
      <c r="O123" s="11" t="n">
        <v>21</v>
      </c>
      <c r="P123" t="inlineStr">
        <is>
          <t>PTGM</t>
        </is>
      </c>
      <c r="Q123" t="inlineStr"/>
      <c r="R123" t="inlineStr"/>
      <c r="S123" t="inlineStr"/>
    </row>
    <row r="124">
      <c r="A124" t="inlineStr">
        <is>
          <t>QA</t>
        </is>
      </c>
      <c r="B124" s="28" t="inlineStr">
        <is>
          <t>FILTER-11239</t>
        </is>
      </c>
      <c r="C124" s="20" t="inlineStr">
        <is>
          <t>Manual QA Validation for Duplicate Blocked Activity Email Alerts (CRXTN)</t>
        </is>
      </c>
      <c r="D124" t="inlineStr">
        <is>
          <t>FILTER-8474</t>
        </is>
      </c>
      <c r="E124" t="inlineStr">
        <is>
          <t>Escape Defect</t>
        </is>
      </c>
      <c r="F124" t="inlineStr">
        <is>
          <t>Surabhi Choudhary</t>
        </is>
      </c>
      <c r="G124" t="inlineStr">
        <is>
          <t>Done</t>
        </is>
      </c>
      <c r="H124" t="inlineStr"/>
      <c r="I124" t="inlineStr">
        <is>
          <t>P3</t>
        </is>
      </c>
      <c r="J124" s="29" t="n">
        <v>45994</v>
      </c>
      <c r="L124" s="29" t="n">
        <v>46104</v>
      </c>
      <c r="M124" t="inlineStr">
        <is>
          <t>sprint-Fay</t>
        </is>
      </c>
      <c r="N124" s="11" t="n">
        <v>0.5</v>
      </c>
      <c r="O124" s="11" t="n">
        <v>2</v>
      </c>
      <c r="P124" t="inlineStr">
        <is>
          <t>FILTER</t>
        </is>
      </c>
      <c r="Q124" t="inlineStr"/>
      <c r="R124" t="inlineStr"/>
      <c r="S124" t="inlineStr"/>
    </row>
    <row r="125">
      <c r="A125" t="inlineStr">
        <is>
          <t>QA</t>
        </is>
      </c>
      <c r="B125" s="28" t="inlineStr">
        <is>
          <t>FILTER-11661</t>
        </is>
      </c>
      <c r="C125" s="20" t="inlineStr">
        <is>
          <t xml:space="preserve">Manual Testing Tokenization service for Extension </t>
        </is>
      </c>
      <c r="D125" t="inlineStr">
        <is>
          <t>FILTER-11631</t>
        </is>
      </c>
      <c r="E125" t="inlineStr">
        <is>
          <t>Story</t>
        </is>
      </c>
      <c r="F125" t="inlineStr">
        <is>
          <t>Surabhi Choudhary</t>
        </is>
      </c>
      <c r="G125" t="inlineStr">
        <is>
          <t>Done</t>
        </is>
      </c>
      <c r="H125" t="inlineStr"/>
      <c r="I125" t="inlineStr">
        <is>
          <t>P3</t>
        </is>
      </c>
      <c r="J125" s="29" t="n">
        <v>46037</v>
      </c>
      <c r="L125" s="29" t="n">
        <v>46126</v>
      </c>
      <c r="M125" t="inlineStr">
        <is>
          <t>sprint-Fay</t>
        </is>
      </c>
      <c r="N125" s="11" t="n">
        <v>24</v>
      </c>
      <c r="O125" s="11" t="n">
        <v>24</v>
      </c>
      <c r="P125" t="inlineStr">
        <is>
          <t>FILTER</t>
        </is>
      </c>
      <c r="Q125" t="inlineStr">
        <is>
          <t>Capitalized-Feature</t>
        </is>
      </c>
      <c r="R125" t="inlineStr"/>
      <c r="S125" t="inlineStr"/>
    </row>
    <row r="126">
      <c r="A126" t="inlineStr">
        <is>
          <t>QA</t>
        </is>
      </c>
      <c r="B126" s="28" t="inlineStr">
        <is>
          <t>FILTER-11978</t>
        </is>
      </c>
      <c r="C126" s="20" t="inlineStr">
        <is>
          <t>Verify audit logging for subscriptionType and accountExpiry (Support Tool + cron)</t>
        </is>
      </c>
      <c r="D126" t="inlineStr">
        <is>
          <t>FILTER-11976</t>
        </is>
      </c>
      <c r="E126" t="inlineStr">
        <is>
          <t>Task</t>
        </is>
      </c>
      <c r="F126" t="inlineStr">
        <is>
          <t>Surabhi Choudhary</t>
        </is>
      </c>
      <c r="G126" t="inlineStr">
        <is>
          <t>Done</t>
        </is>
      </c>
      <c r="H126" t="inlineStr"/>
      <c r="I126" t="inlineStr">
        <is>
          <t>P3</t>
        </is>
      </c>
      <c r="J126" s="29" t="n">
        <v>46058</v>
      </c>
      <c r="L126" s="29" t="n">
        <v>46105</v>
      </c>
      <c r="M126" t="inlineStr">
        <is>
          <t>sprint-Fay</t>
        </is>
      </c>
      <c r="N126" s="11" t="n">
        <v>3</v>
      </c>
      <c r="O126" s="11" t="n">
        <v>3</v>
      </c>
      <c r="P126" t="inlineStr">
        <is>
          <t>FILTER</t>
        </is>
      </c>
      <c r="Q126" t="inlineStr"/>
      <c r="R126" t="inlineStr"/>
      <c r="S126" t="inlineStr"/>
    </row>
    <row r="127">
      <c r="A127" t="inlineStr">
        <is>
          <t>QA</t>
        </is>
      </c>
      <c r="B127" s="28" t="inlineStr">
        <is>
          <t>FILTER-12798</t>
        </is>
      </c>
      <c r="C127" s="20" t="inlineStr">
        <is>
          <t>QA- Update Cron Job for tokenization</t>
        </is>
      </c>
      <c r="D127" t="inlineStr">
        <is>
          <t>FILTER-12796</t>
        </is>
      </c>
      <c r="E127" t="inlineStr">
        <is>
          <t>Task</t>
        </is>
      </c>
      <c r="F127" t="inlineStr">
        <is>
          <t>Surabhi Choudhary</t>
        </is>
      </c>
      <c r="G127" t="inlineStr">
        <is>
          <t>Done</t>
        </is>
      </c>
      <c r="H127" t="inlineStr"/>
      <c r="I127" t="inlineStr">
        <is>
          <t>P3</t>
        </is>
      </c>
      <c r="J127" s="29" t="n">
        <v>46108</v>
      </c>
      <c r="L127" s="29" t="n">
        <v>46135</v>
      </c>
      <c r="M127" t="inlineStr">
        <is>
          <t>sprint-Fay</t>
        </is>
      </c>
      <c r="N127" s="11" t="n">
        <v>2</v>
      </c>
      <c r="O127" s="11" t="n">
        <v>2</v>
      </c>
      <c r="P127" t="inlineStr">
        <is>
          <t>FILTER</t>
        </is>
      </c>
      <c r="Q127" t="inlineStr"/>
      <c r="R127" t="inlineStr"/>
      <c r="S127" t="inlineStr"/>
    </row>
    <row r="128">
      <c r="A128" t="inlineStr">
        <is>
          <t>QA</t>
        </is>
      </c>
      <c r="B128" s="28" t="inlineStr">
        <is>
          <t>FILTER-13079</t>
        </is>
      </c>
      <c r="C128" s="20" t="inlineStr">
        <is>
          <t>Manual Testing Tokenization service for GO Extension</t>
        </is>
      </c>
      <c r="D128" t="inlineStr">
        <is>
          <t>FILTER-11631</t>
        </is>
      </c>
      <c r="E128" t="inlineStr">
        <is>
          <t>Story</t>
        </is>
      </c>
      <c r="F128" t="inlineStr">
        <is>
          <t>Surabhi Choudhary</t>
        </is>
      </c>
      <c r="G128" t="inlineStr">
        <is>
          <t>Done</t>
        </is>
      </c>
      <c r="H128" t="inlineStr"/>
      <c r="I128" t="inlineStr">
        <is>
          <t>P2</t>
        </is>
      </c>
      <c r="J128" s="29" t="n">
        <v>46113</v>
      </c>
      <c r="L128" s="29" t="n">
        <v>46126</v>
      </c>
      <c r="M128" t="inlineStr">
        <is>
          <t>sprint-Fay</t>
        </is>
      </c>
      <c r="N128" s="11" t="n">
        <v>24</v>
      </c>
      <c r="O128" s="11" t="n">
        <v>24</v>
      </c>
      <c r="P128" t="inlineStr">
        <is>
          <t>FILTER</t>
        </is>
      </c>
      <c r="Q128" t="inlineStr">
        <is>
          <t>Capitalized-Feature</t>
        </is>
      </c>
      <c r="R128" t="inlineStr"/>
      <c r="S128" t="inlineStr"/>
    </row>
    <row r="129">
      <c r="A129" t="inlineStr">
        <is>
          <t>Dev</t>
        </is>
      </c>
      <c r="B129" s="28" t="inlineStr">
        <is>
          <t>FILTER-12468</t>
        </is>
      </c>
      <c r="C129" s="20" t="inlineStr">
        <is>
          <t>Fixing simple input with chips.</t>
        </is>
      </c>
      <c r="D129" t="inlineStr">
        <is>
          <t>FILTER-12467</t>
        </is>
      </c>
      <c r="E129" t="inlineStr">
        <is>
          <t>Story</t>
        </is>
      </c>
      <c r="F129" t="inlineStr">
        <is>
          <t>Swaroop Chavhan</t>
        </is>
      </c>
      <c r="G129" t="inlineStr">
        <is>
          <t>Done</t>
        </is>
      </c>
      <c r="H129" t="inlineStr"/>
      <c r="I129" t="inlineStr">
        <is>
          <t>P3</t>
        </is>
      </c>
      <c r="J129" s="29" t="n">
        <v>46094</v>
      </c>
      <c r="L129" s="29" t="n">
        <v>46118</v>
      </c>
      <c r="M129" t="inlineStr">
        <is>
          <t>sprint-Fay</t>
        </is>
      </c>
      <c r="N129" s="11" t="n">
        <v>12</v>
      </c>
      <c r="O129" s="11" t="n">
        <v>16</v>
      </c>
      <c r="P129" t="inlineStr">
        <is>
          <t>FILTER</t>
        </is>
      </c>
      <c r="Q129" t="inlineStr"/>
      <c r="R129" t="inlineStr"/>
      <c r="S129" t="inlineStr"/>
    </row>
    <row r="130">
      <c r="A130" t="inlineStr">
        <is>
          <t>Dev</t>
        </is>
      </c>
      <c r="B130" s="28" t="inlineStr">
        <is>
          <t>FILTER-12469</t>
        </is>
      </c>
      <c r="C130" s="20" t="inlineStr">
        <is>
          <t>Fixing search with chips</t>
        </is>
      </c>
      <c r="D130" t="inlineStr">
        <is>
          <t>FILTER-12467</t>
        </is>
      </c>
      <c r="E130" t="inlineStr">
        <is>
          <t>Story</t>
        </is>
      </c>
      <c r="F130" t="inlineStr">
        <is>
          <t>Swaroop Chavhan</t>
        </is>
      </c>
      <c r="G130" t="inlineStr">
        <is>
          <t>Done</t>
        </is>
      </c>
      <c r="H130" t="inlineStr"/>
      <c r="I130" t="inlineStr">
        <is>
          <t>P3</t>
        </is>
      </c>
      <c r="J130" s="29" t="n">
        <v>46094</v>
      </c>
      <c r="L130" s="29" t="n">
        <v>46118</v>
      </c>
      <c r="M130" t="inlineStr">
        <is>
          <t>sprint-Fay</t>
        </is>
      </c>
      <c r="N130" s="11" t="n">
        <v>12</v>
      </c>
      <c r="O130" s="11" t="n">
        <v>16</v>
      </c>
      <c r="P130" t="inlineStr">
        <is>
          <t>FILTER</t>
        </is>
      </c>
      <c r="Q130" t="inlineStr"/>
      <c r="R130" t="inlineStr"/>
      <c r="S130" t="inlineStr"/>
    </row>
    <row r="131">
      <c r="A131" t="inlineStr">
        <is>
          <t>Dev</t>
        </is>
      </c>
      <c r="B131" s="28" t="inlineStr">
        <is>
          <t>FILTER-12470</t>
        </is>
      </c>
      <c r="C131" s="20" t="inlineStr">
        <is>
          <t>Fixing search with autocomplete with chips</t>
        </is>
      </c>
      <c r="D131" t="inlineStr">
        <is>
          <t>FILTER-12467</t>
        </is>
      </c>
      <c r="E131" t="inlineStr">
        <is>
          <t>Story</t>
        </is>
      </c>
      <c r="F131" t="inlineStr">
        <is>
          <t>Swaroop Chavhan</t>
        </is>
      </c>
      <c r="G131" t="inlineStr">
        <is>
          <t>Done</t>
        </is>
      </c>
      <c r="H131" t="inlineStr"/>
      <c r="I131" t="inlineStr">
        <is>
          <t>P3</t>
        </is>
      </c>
      <c r="J131" s="29" t="n">
        <v>46094</v>
      </c>
      <c r="L131" s="29" t="n">
        <v>46118</v>
      </c>
      <c r="M131" t="inlineStr">
        <is>
          <t>sprint-Fay</t>
        </is>
      </c>
      <c r="N131" s="11" t="n">
        <v>12</v>
      </c>
      <c r="O131" s="11" t="n">
        <v>16</v>
      </c>
      <c r="P131" t="inlineStr">
        <is>
          <t>FILTER</t>
        </is>
      </c>
      <c r="Q131" t="inlineStr"/>
      <c r="R131" t="inlineStr"/>
      <c r="S131" t="inlineStr"/>
    </row>
    <row r="132">
      <c r="A132" t="inlineStr">
        <is>
          <t>Dev</t>
        </is>
      </c>
      <c r="B132" s="28" t="inlineStr">
        <is>
          <t>FILTER-12471</t>
        </is>
      </c>
      <c r="C132" s="20" t="inlineStr">
        <is>
          <t>Fixing dropdown with chips (search inside)</t>
        </is>
      </c>
      <c r="D132" t="inlineStr">
        <is>
          <t>FILTER-12467</t>
        </is>
      </c>
      <c r="E132" t="inlineStr">
        <is>
          <t>Story</t>
        </is>
      </c>
      <c r="F132" t="inlineStr">
        <is>
          <t>Swaroop Chavhan</t>
        </is>
      </c>
      <c r="G132" t="inlineStr">
        <is>
          <t>Done</t>
        </is>
      </c>
      <c r="H132" t="inlineStr"/>
      <c r="I132" t="inlineStr">
        <is>
          <t>P3</t>
        </is>
      </c>
      <c r="J132" s="29" t="n">
        <v>46094</v>
      </c>
      <c r="L132" s="29" t="n">
        <v>46118</v>
      </c>
      <c r="M132" t="inlineStr">
        <is>
          <t>sprint-Fay</t>
        </is>
      </c>
      <c r="N132" s="11" t="n">
        <v>12</v>
      </c>
      <c r="O132" s="11" t="n">
        <v>16</v>
      </c>
      <c r="P132" t="inlineStr">
        <is>
          <t>FILTER</t>
        </is>
      </c>
      <c r="Q132" t="inlineStr"/>
      <c r="R132" t="inlineStr"/>
      <c r="S132" t="inlineStr"/>
    </row>
    <row r="133">
      <c r="A133" t="inlineStr">
        <is>
          <t>Dev</t>
        </is>
      </c>
      <c r="B133" s="28" t="inlineStr">
        <is>
          <t>FILTER-12561</t>
        </is>
      </c>
      <c r="C133" s="20" t="inlineStr">
        <is>
          <t>Find and fix pending minor accessibility issues in Filter</t>
        </is>
      </c>
      <c r="D133" t="inlineStr">
        <is>
          <t>FILTER-12472</t>
        </is>
      </c>
      <c r="E133" t="inlineStr">
        <is>
          <t>Story</t>
        </is>
      </c>
      <c r="F133" t="inlineStr">
        <is>
          <t>Swaroop Chavhan</t>
        </is>
      </c>
      <c r="G133" t="inlineStr">
        <is>
          <t>Done</t>
        </is>
      </c>
      <c r="H133" t="inlineStr"/>
      <c r="I133" t="inlineStr">
        <is>
          <t>P3</t>
        </is>
      </c>
      <c r="J133" s="29" t="n">
        <v>46099</v>
      </c>
      <c r="L133" s="29" t="n">
        <v>46118</v>
      </c>
      <c r="M133" t="inlineStr">
        <is>
          <t>sprint-Fay</t>
        </is>
      </c>
      <c r="N133" s="11" t="n">
        <v>24</v>
      </c>
      <c r="O133" s="11" t="n">
        <v>24</v>
      </c>
      <c r="P133" t="inlineStr">
        <is>
          <t>FILTER</t>
        </is>
      </c>
      <c r="Q133" t="inlineStr"/>
      <c r="R133" t="inlineStr"/>
      <c r="S133" t="inlineStr"/>
    </row>
    <row r="134">
      <c r="A134" t="inlineStr">
        <is>
          <t>Dev</t>
        </is>
      </c>
      <c r="B134" s="28" t="inlineStr">
        <is>
          <t>FILTER-12022</t>
        </is>
      </c>
      <c r="C134" s="20" t="inlineStr">
        <is>
          <t>Fix automation JWT token to use actual user role instead of hardcoded 'Admin'</t>
        </is>
      </c>
      <c r="D134" t="inlineStr">
        <is>
          <t>FILTER-12018</t>
        </is>
      </c>
      <c r="E134" t="inlineStr">
        <is>
          <t>Task</t>
        </is>
      </c>
      <c r="F134" t="inlineStr">
        <is>
          <t>Vaibhav Kumbhar</t>
        </is>
      </c>
      <c r="G134" t="inlineStr">
        <is>
          <t>Done</t>
        </is>
      </c>
      <c r="H134" t="inlineStr"/>
      <c r="I134" t="inlineStr">
        <is>
          <t>P3</t>
        </is>
      </c>
      <c r="J134" s="29" t="n">
        <v>46064</v>
      </c>
      <c r="L134" s="29" t="n">
        <v>46099</v>
      </c>
      <c r="M134" t="inlineStr">
        <is>
          <t>sprint-Fay</t>
        </is>
      </c>
      <c r="N134" s="11" t="n">
        <v>8</v>
      </c>
      <c r="O134" s="11" t="n">
        <v>8</v>
      </c>
      <c r="P134" t="inlineStr">
        <is>
          <t>FILTER</t>
        </is>
      </c>
      <c r="Q134" t="inlineStr"/>
      <c r="R134" t="inlineStr"/>
      <c r="S134" t="inlineStr"/>
    </row>
    <row r="135">
      <c r="A135" t="inlineStr">
        <is>
          <t>Dev</t>
        </is>
      </c>
      <c r="B135" s="28" t="inlineStr">
        <is>
          <t>FILTER-12248</t>
        </is>
      </c>
      <c r="C135" s="20" t="inlineStr">
        <is>
          <t>DEV - Games sites, sometimes shows Accessed for no reason when games category is blocked</t>
        </is>
      </c>
      <c r="D135" t="inlineStr">
        <is>
          <t>FILTER-12247</t>
        </is>
      </c>
      <c r="E135" t="inlineStr">
        <is>
          <t>Escape Defect</t>
        </is>
      </c>
      <c r="F135" t="inlineStr">
        <is>
          <t>Vaibhav Kumbhar</t>
        </is>
      </c>
      <c r="G135" t="inlineStr">
        <is>
          <t>Done</t>
        </is>
      </c>
      <c r="H135" t="inlineStr"/>
      <c r="I135" t="inlineStr">
        <is>
          <t>P1</t>
        </is>
      </c>
      <c r="J135" s="29" t="n">
        <v>46079</v>
      </c>
      <c r="L135" s="29" t="n">
        <v>46105</v>
      </c>
      <c r="M135" t="inlineStr">
        <is>
          <t>sprint-Fay</t>
        </is>
      </c>
      <c r="N135" s="11" t="n">
        <v>16</v>
      </c>
      <c r="O135" s="11" t="n">
        <v>16</v>
      </c>
      <c r="P135" t="inlineStr">
        <is>
          <t>FILTER</t>
        </is>
      </c>
      <c r="Q135" t="inlineStr"/>
      <c r="R135" t="inlineStr"/>
      <c r="S135" t="inlineStr"/>
    </row>
    <row r="136">
      <c r="A136" t="inlineStr">
        <is>
          <t>Task</t>
        </is>
      </c>
      <c r="B136" s="28" t="inlineStr">
        <is>
          <t>FILTER-12304</t>
        </is>
      </c>
      <c r="C136" s="20" t="inlineStr">
        <is>
          <t>Go broker server: Make fasthttp ReadBufferSize and WriteBufferSize configurable</t>
        </is>
      </c>
      <c r="D136" t="inlineStr"/>
      <c r="E136" t="inlineStr"/>
      <c r="F136" t="inlineStr">
        <is>
          <t>Vaibhav Kumbhar</t>
        </is>
      </c>
      <c r="G136" t="inlineStr">
        <is>
          <t>Closed</t>
        </is>
      </c>
      <c r="H136" t="inlineStr">
        <is>
          <t>Done</t>
        </is>
      </c>
      <c r="I136" t="inlineStr">
        <is>
          <t>P3</t>
        </is>
      </c>
      <c r="J136" s="29" t="n">
        <v>46083</v>
      </c>
      <c r="K136" s="29" t="n">
        <v>46108</v>
      </c>
      <c r="L136" s="29" t="n">
        <v>46133</v>
      </c>
      <c r="M136" t="inlineStr">
        <is>
          <t>sprint-Fay</t>
        </is>
      </c>
      <c r="N136" s="11" t="n">
        <v>4</v>
      </c>
      <c r="O136" s="11" t="n">
        <v>4</v>
      </c>
      <c r="P136" t="inlineStr">
        <is>
          <t>FILTER</t>
        </is>
      </c>
      <c r="Q136" t="inlineStr"/>
      <c r="R136" t="inlineStr"/>
      <c r="S136" t="inlineStr"/>
    </row>
    <row r="137">
      <c r="A137" t="inlineStr">
        <is>
          <t>Dev</t>
        </is>
      </c>
      <c r="B137" s="28" t="inlineStr">
        <is>
          <t>FILTER-12338</t>
        </is>
      </c>
      <c r="C137" s="20" t="inlineStr">
        <is>
          <t>Extension logs show traffic for deactivated GAC user (tfisher@d84.org); user should not appear once removed from GAC</t>
        </is>
      </c>
      <c r="D137" t="inlineStr">
        <is>
          <t>FILTER-12300</t>
        </is>
      </c>
      <c r="E137" t="inlineStr">
        <is>
          <t>Escape Defect</t>
        </is>
      </c>
      <c r="F137" t="inlineStr">
        <is>
          <t>Vaibhav Kumbhar</t>
        </is>
      </c>
      <c r="G137" t="inlineStr">
        <is>
          <t>Closed without action</t>
        </is>
      </c>
      <c r="H137" t="inlineStr"/>
      <c r="I137" t="inlineStr">
        <is>
          <t>P2</t>
        </is>
      </c>
      <c r="J137" s="29" t="n">
        <v>46084</v>
      </c>
      <c r="L137" s="29" t="n">
        <v>46099</v>
      </c>
      <c r="M137" t="inlineStr">
        <is>
          <t>sprint-Fay</t>
        </is>
      </c>
      <c r="N137" s="11" t="n">
        <v>8</v>
      </c>
      <c r="O137" s="11" t="n">
        <v>16</v>
      </c>
      <c r="P137" t="inlineStr">
        <is>
          <t>FILTER</t>
        </is>
      </c>
      <c r="Q137" t="inlineStr"/>
      <c r="R137" t="inlineStr"/>
      <c r="S137" t="inlineStr"/>
    </row>
    <row r="138">
      <c r="A138" t="inlineStr">
        <is>
          <t>Dev</t>
        </is>
      </c>
      <c r="B138" s="28" t="inlineStr">
        <is>
          <t>FILTER-12598</t>
        </is>
      </c>
      <c r="C138" s="20" t="inlineStr">
        <is>
          <t>DEV - FilterByPass - Malicious Application</t>
        </is>
      </c>
      <c r="D138" t="inlineStr">
        <is>
          <t>FILTER-12572</t>
        </is>
      </c>
      <c r="E138" t="inlineStr">
        <is>
          <t>Support Request</t>
        </is>
      </c>
      <c r="F138" t="inlineStr">
        <is>
          <t>Vaibhav Kumbhar</t>
        </is>
      </c>
      <c r="G138" t="inlineStr">
        <is>
          <t>Closed without action</t>
        </is>
      </c>
      <c r="H138" t="inlineStr"/>
      <c r="I138" t="inlineStr">
        <is>
          <t>P1</t>
        </is>
      </c>
      <c r="J138" s="29" t="n">
        <v>46101</v>
      </c>
      <c r="L138" s="29" t="n">
        <v>46104</v>
      </c>
      <c r="M138" t="inlineStr">
        <is>
          <t>sprint-Fay</t>
        </is>
      </c>
      <c r="N138" s="11" t="n">
        <v>0</v>
      </c>
      <c r="O138" s="11" t="n">
        <v>0</v>
      </c>
      <c r="P138" t="inlineStr">
        <is>
          <t>FILTER</t>
        </is>
      </c>
      <c r="Q138" t="inlineStr"/>
      <c r="R138" t="inlineStr"/>
      <c r="S138" t="inlineStr"/>
    </row>
    <row r="139">
      <c r="A139" t="inlineStr">
        <is>
          <t>Dev</t>
        </is>
      </c>
      <c r="B139" s="28" t="inlineStr">
        <is>
          <t>PTGM-652</t>
        </is>
      </c>
      <c r="C139" s="20" t="inlineStr">
        <is>
          <t>Update www-support-tool repo</t>
        </is>
      </c>
      <c r="D139" t="inlineStr">
        <is>
          <t>PTGM-684</t>
        </is>
      </c>
      <c r="E139" t="inlineStr">
        <is>
          <t>Story</t>
        </is>
      </c>
      <c r="F139" t="inlineStr">
        <is>
          <t>Vaibhav Kumbhar</t>
        </is>
      </c>
      <c r="G139" t="inlineStr">
        <is>
          <t>Done</t>
        </is>
      </c>
      <c r="H139" t="inlineStr"/>
      <c r="I139" t="inlineStr">
        <is>
          <t>P2</t>
        </is>
      </c>
      <c r="J139" s="29" t="n">
        <v>46001</v>
      </c>
      <c r="L139" s="29" t="n">
        <v>46105</v>
      </c>
      <c r="M139" t="inlineStr">
        <is>
          <t>sprint-Fay</t>
        </is>
      </c>
      <c r="N139" s="11" t="n">
        <v>25</v>
      </c>
      <c r="O139" s="11" t="n">
        <v>24</v>
      </c>
      <c r="P139" t="inlineStr">
        <is>
          <t>PTGM</t>
        </is>
      </c>
      <c r="Q139" t="inlineStr"/>
      <c r="R139" t="inlineStr"/>
      <c r="S139" t="inlineStr"/>
    </row>
  </sheetData>
  <autoFilter ref="A1:S13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Story</t>
        </is>
      </c>
      <c r="B2" s="23" t="inlineStr">
        <is>
          <t>FILTER-12473</t>
        </is>
      </c>
      <c r="C2" s="24" t="inlineStr">
        <is>
          <t>Filter + Aware Accessibility - Mat tree</t>
        </is>
      </c>
      <c r="D2" s="22" t="inlineStr"/>
      <c r="E2" s="22" t="inlineStr"/>
      <c r="F2" s="22" t="inlineStr">
        <is>
          <t>Swaroop Chavhan</t>
        </is>
      </c>
      <c r="G2" s="22" t="inlineStr">
        <is>
          <t>Backlog</t>
        </is>
      </c>
      <c r="H2" s="22" t="inlineStr"/>
      <c r="I2" s="22" t="inlineStr">
        <is>
          <t>P3</t>
        </is>
      </c>
      <c r="J2" s="25" t="n">
        <v>46094</v>
      </c>
      <c r="K2" s="22" t="n"/>
      <c r="L2" s="25" t="n">
        <v>46133</v>
      </c>
      <c r="M2" s="22" t="inlineStr">
        <is>
          <t>sprint-Fay</t>
        </is>
      </c>
      <c r="N2" s="26" t="n">
        <v>0</v>
      </c>
      <c r="O2" s="26" t="n">
        <v>0</v>
      </c>
      <c r="P2" s="22" t="inlineStr">
        <is>
          <t>FILTER</t>
        </is>
      </c>
      <c r="Q2" s="22" t="inlineStr"/>
      <c r="R2" s="22" t="inlineStr"/>
      <c r="S2" s="27" t="inlineStr">
        <is>
          <t>YES</t>
        </is>
      </c>
    </row>
    <row r="3">
      <c r="A3" t="inlineStr">
        <is>
          <t>QA</t>
        </is>
      </c>
      <c r="B3" s="28" t="inlineStr">
        <is>
          <t>FILTER-11844</t>
        </is>
      </c>
      <c r="C3" s="20" t="inlineStr">
        <is>
          <t>Verify fix for SafetyConsole CustomList API - Token invalidation on re-authentication</t>
        </is>
      </c>
      <c r="D3" t="inlineStr">
        <is>
          <t>FILTER-11687</t>
        </is>
      </c>
      <c r="E3" t="inlineStr">
        <is>
          <t>Defect</t>
        </is>
      </c>
      <c r="F3" t="inlineStr">
        <is>
          <t>Amit Shete</t>
        </is>
      </c>
      <c r="G3" t="inlineStr">
        <is>
          <t>Open</t>
        </is>
      </c>
      <c r="H3" t="inlineStr"/>
      <c r="I3" t="inlineStr">
        <is>
          <t>P2</t>
        </is>
      </c>
      <c r="J3" s="29" t="n">
        <v>46051</v>
      </c>
      <c r="L3" s="29" t="n">
        <v>46139</v>
      </c>
      <c r="M3" t="inlineStr">
        <is>
          <t>sprint-Fay</t>
        </is>
      </c>
      <c r="N3" s="11" t="n">
        <v>0</v>
      </c>
      <c r="O3" s="11" t="n">
        <v>2</v>
      </c>
      <c r="P3" t="inlineStr">
        <is>
          <t>FILTER</t>
        </is>
      </c>
      <c r="Q3" t="inlineStr"/>
      <c r="R3" t="inlineStr"/>
      <c r="S3" t="inlineStr"/>
    </row>
    <row r="4">
      <c r="A4" t="inlineStr">
        <is>
          <t>Dev</t>
        </is>
      </c>
      <c r="B4" s="28" t="inlineStr">
        <is>
          <t>FILTER-11483</t>
        </is>
      </c>
      <c r="C4" s="20" t="inlineStr">
        <is>
          <t>Fix Canva.com NSFW Video Classification Timeout and Safe Image Click Blockers</t>
        </is>
      </c>
      <c r="D4" t="inlineStr">
        <is>
          <t>FILTER-11418</t>
        </is>
      </c>
      <c r="E4" t="inlineStr">
        <is>
          <t>Defect</t>
        </is>
      </c>
      <c r="F4" t="inlineStr">
        <is>
          <t>Arun Thakur</t>
        </is>
      </c>
      <c r="G4" t="inlineStr">
        <is>
          <t>In Progress</t>
        </is>
      </c>
      <c r="H4" t="inlineStr"/>
      <c r="I4" t="inlineStr">
        <is>
          <t>P2</t>
        </is>
      </c>
      <c r="J4" s="29" t="n">
        <v>46010</v>
      </c>
      <c r="L4" s="29" t="n">
        <v>46139</v>
      </c>
      <c r="M4" t="inlineStr">
        <is>
          <t>sprint-Fay</t>
        </is>
      </c>
      <c r="N4" s="11" t="n">
        <v>6</v>
      </c>
      <c r="O4" s="11" t="n">
        <v>6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QA</t>
        </is>
      </c>
      <c r="B5" s="28" t="inlineStr">
        <is>
          <t>FILTER-11485</t>
        </is>
      </c>
      <c r="C5" s="20" t="inlineStr">
        <is>
          <t>Fix Canva.com NSFW Video Classification Timeout and Safe Image Click Blockers</t>
        </is>
      </c>
      <c r="D5" t="inlineStr">
        <is>
          <t>FILTER-11418</t>
        </is>
      </c>
      <c r="E5" t="inlineStr">
        <is>
          <t>Defect</t>
        </is>
      </c>
      <c r="F5" t="inlineStr">
        <is>
          <t>Ayesha Kamde</t>
        </is>
      </c>
      <c r="G5" t="inlineStr">
        <is>
          <t>Open</t>
        </is>
      </c>
      <c r="H5" t="inlineStr"/>
      <c r="I5" t="inlineStr">
        <is>
          <t>P2</t>
        </is>
      </c>
      <c r="J5" s="29" t="n">
        <v>46010</v>
      </c>
      <c r="L5" s="29" t="n">
        <v>46128</v>
      </c>
      <c r="M5" t="inlineStr">
        <is>
          <t>sprint-Fay</t>
        </is>
      </c>
      <c r="N5" s="11" t="n">
        <v>2</v>
      </c>
      <c r="O5" s="11" t="n">
        <v>2</v>
      </c>
      <c r="P5" t="inlineStr">
        <is>
          <t>FILTER</t>
        </is>
      </c>
      <c r="Q5" t="inlineStr"/>
      <c r="R5" t="inlineStr"/>
      <c r="S5" t="inlineStr"/>
    </row>
    <row r="6">
      <c r="A6" t="inlineStr">
        <is>
          <t>QA</t>
        </is>
      </c>
      <c r="B6" s="28" t="inlineStr">
        <is>
          <t>FILTER-12423</t>
        </is>
      </c>
      <c r="C6" s="20" t="inlineStr">
        <is>
          <t>[TS Extension] - QA task to reverify 'Google search results appear while typing in the bar' on TS</t>
        </is>
      </c>
      <c r="D6" t="inlineStr">
        <is>
          <t>FILTER-7955</t>
        </is>
      </c>
      <c r="E6" t="inlineStr">
        <is>
          <t>Defect</t>
        </is>
      </c>
      <c r="F6" t="inlineStr">
        <is>
          <t>Ayesha Kamde</t>
        </is>
      </c>
      <c r="G6" t="inlineStr">
        <is>
          <t>Open</t>
        </is>
      </c>
      <c r="H6" t="inlineStr"/>
      <c r="I6" t="inlineStr">
        <is>
          <t>P2</t>
        </is>
      </c>
      <c r="J6" s="29" t="n">
        <v>46093</v>
      </c>
      <c r="L6" s="29" t="n">
        <v>46126</v>
      </c>
      <c r="M6" t="inlineStr">
        <is>
          <t>sprint-Fay</t>
        </is>
      </c>
      <c r="N6" s="11" t="n">
        <v>0</v>
      </c>
      <c r="O6" s="11" t="n">
        <v>2</v>
      </c>
      <c r="P6" t="inlineStr">
        <is>
          <t>FILTER</t>
        </is>
      </c>
      <c r="Q6" t="inlineStr"/>
      <c r="R6" t="inlineStr"/>
      <c r="S6" t="inlineStr"/>
    </row>
    <row r="7">
      <c r="A7" t="inlineStr">
        <is>
          <t>QA</t>
        </is>
      </c>
      <c r="B7" s="28" t="inlineStr">
        <is>
          <t>FILTER-12429</t>
        </is>
      </c>
      <c r="C7" s="20" t="inlineStr">
        <is>
          <t>[TS Extension] QA task to reverify issue  - crextn - initial broker skips iframes</t>
        </is>
      </c>
      <c r="D7" t="inlineStr">
        <is>
          <t>FILTER-12427</t>
        </is>
      </c>
      <c r="E7" t="inlineStr">
        <is>
          <t>Task</t>
        </is>
      </c>
      <c r="F7" t="inlineStr">
        <is>
          <t>Ayesha Kamde</t>
        </is>
      </c>
      <c r="G7" t="inlineStr">
        <is>
          <t>Open</t>
        </is>
      </c>
      <c r="H7" t="inlineStr"/>
      <c r="I7" t="inlineStr">
        <is>
          <t>P2</t>
        </is>
      </c>
      <c r="J7" s="29" t="n">
        <v>46093</v>
      </c>
      <c r="L7" s="29" t="n">
        <v>46133</v>
      </c>
      <c r="M7" t="inlineStr">
        <is>
          <t>sprint-Fay</t>
        </is>
      </c>
      <c r="N7" s="11" t="n">
        <v>1</v>
      </c>
      <c r="O7" s="11" t="n">
        <v>2</v>
      </c>
      <c r="P7" t="inlineStr">
        <is>
          <t>FILTER</t>
        </is>
      </c>
      <c r="Q7" t="inlineStr"/>
      <c r="R7" t="inlineStr"/>
      <c r="S7" t="inlineStr"/>
    </row>
    <row r="8">
      <c r="A8" t="inlineStr">
        <is>
          <t>Dev</t>
        </is>
      </c>
      <c r="B8" s="28" t="inlineStr">
        <is>
          <t>FILTER-11843</t>
        </is>
      </c>
      <c r="C8" s="20" t="inlineStr">
        <is>
          <t>SafetyConsole CustomList API - Old access tokens remain valid after new token generation</t>
        </is>
      </c>
      <c r="D8" t="inlineStr">
        <is>
          <t>FILTER-11687</t>
        </is>
      </c>
      <c r="E8" t="inlineStr">
        <is>
          <t>Defect</t>
        </is>
      </c>
      <c r="F8" t="inlineStr">
        <is>
          <t>Prateek Fotedar</t>
        </is>
      </c>
      <c r="G8" t="inlineStr">
        <is>
          <t>Reopened</t>
        </is>
      </c>
      <c r="H8" t="inlineStr"/>
      <c r="I8" t="inlineStr">
        <is>
          <t>P2</t>
        </is>
      </c>
      <c r="J8" s="29" t="n">
        <v>46051</v>
      </c>
      <c r="L8" s="29" t="n">
        <v>46140</v>
      </c>
      <c r="M8" t="inlineStr">
        <is>
          <t>sprint-Fay</t>
        </is>
      </c>
      <c r="N8" s="11" t="n">
        <v>12</v>
      </c>
      <c r="O8" s="11" t="n">
        <v>12</v>
      </c>
      <c r="P8" t="inlineStr">
        <is>
          <t>FILTER</t>
        </is>
      </c>
      <c r="Q8" t="inlineStr"/>
      <c r="R8" t="inlineStr"/>
      <c r="S8" t="inlineStr"/>
    </row>
    <row r="9">
      <c r="A9" t="inlineStr">
        <is>
          <t>Dev</t>
        </is>
      </c>
      <c r="B9" s="28" t="inlineStr">
        <is>
          <t>FILTER-12420</t>
        </is>
      </c>
      <c r="C9" s="20" t="inlineStr">
        <is>
          <t>[TS Extension] Dev Task to fix 'Google search results appear while typing in the bar' on JS</t>
        </is>
      </c>
      <c r="D9" t="inlineStr">
        <is>
          <t>FILTER-7955</t>
        </is>
      </c>
      <c r="E9" t="inlineStr">
        <is>
          <t>Defect</t>
        </is>
      </c>
      <c r="F9" t="inlineStr">
        <is>
          <t>Pratik Tiwari</t>
        </is>
      </c>
      <c r="G9" t="inlineStr">
        <is>
          <t>Open</t>
        </is>
      </c>
      <c r="H9" t="inlineStr"/>
      <c r="I9" t="inlineStr">
        <is>
          <t>P2</t>
        </is>
      </c>
      <c r="J9" s="29" t="n">
        <v>46093</v>
      </c>
      <c r="L9" s="29" t="n">
        <v>46126</v>
      </c>
      <c r="M9" t="inlineStr">
        <is>
          <t>sprint-Fay</t>
        </is>
      </c>
      <c r="N9" s="11" t="n">
        <v>0</v>
      </c>
      <c r="O9" s="11" t="n">
        <v>0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Dev</t>
        </is>
      </c>
      <c r="B10" s="28" t="inlineStr">
        <is>
          <t>FILTER-12428</t>
        </is>
      </c>
      <c r="C10" s="20" t="inlineStr">
        <is>
          <t>[TS Extension]DEV - CLONE - crextn - initial broker skips iframes</t>
        </is>
      </c>
      <c r="D10" t="inlineStr">
        <is>
          <t>FILTER-12427</t>
        </is>
      </c>
      <c r="E10" t="inlineStr">
        <is>
          <t>Task</t>
        </is>
      </c>
      <c r="F10" t="inlineStr">
        <is>
          <t>Pratik Tiwari</t>
        </is>
      </c>
      <c r="G10" t="inlineStr">
        <is>
          <t>Reopened</t>
        </is>
      </c>
      <c r="H10" t="inlineStr"/>
      <c r="I10" t="inlineStr">
        <is>
          <t>P2</t>
        </is>
      </c>
      <c r="J10" s="29" t="n">
        <v>46093</v>
      </c>
      <c r="L10" s="29" t="n">
        <v>46133</v>
      </c>
      <c r="M10" t="inlineStr">
        <is>
          <t>sprint-Fay</t>
        </is>
      </c>
      <c r="N10" s="11" t="n">
        <v>3</v>
      </c>
      <c r="O10" s="11" t="n">
        <v>4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Defect</t>
        </is>
      </c>
      <c r="B11" s="28" t="inlineStr">
        <is>
          <t>FILTER-7955</t>
        </is>
      </c>
      <c r="C11" s="20" t="inlineStr">
        <is>
          <t>[TS Extension]Google search results appear while typing in the bar</t>
        </is>
      </c>
      <c r="D11" t="inlineStr"/>
      <c r="E11" t="inlineStr"/>
      <c r="F11" t="inlineStr">
        <is>
          <t>Pratik Tiwari</t>
        </is>
      </c>
      <c r="G11" t="inlineStr">
        <is>
          <t>Open</t>
        </is>
      </c>
      <c r="H11" t="inlineStr"/>
      <c r="I11" t="inlineStr">
        <is>
          <t>P2</t>
        </is>
      </c>
      <c r="J11" s="29" t="n">
        <v>45765</v>
      </c>
      <c r="L11" s="29" t="n">
        <v>46139</v>
      </c>
      <c r="M11" t="inlineStr">
        <is>
          <t>sprint-Fay</t>
        </is>
      </c>
      <c r="N11" s="11" t="n">
        <v>0</v>
      </c>
      <c r="O11" s="11" t="n">
        <v>0</v>
      </c>
      <c r="P11" t="inlineStr">
        <is>
          <t>FILTER</t>
        </is>
      </c>
      <c r="Q11" t="inlineStr">
        <is>
          <t>EXTN, MV3</t>
        </is>
      </c>
      <c r="R11" t="inlineStr"/>
      <c r="S11" t="inlineStr"/>
    </row>
    <row r="12">
      <c r="A12" t="inlineStr">
        <is>
          <t>Dev</t>
        </is>
      </c>
      <c r="B12" s="28" t="inlineStr">
        <is>
          <t>PTGM-663</t>
        </is>
      </c>
      <c r="C12" s="20" t="inlineStr">
        <is>
          <t>Fix linter errors in www-filter repo</t>
        </is>
      </c>
      <c r="D12" t="inlineStr">
        <is>
          <t>PTGM-666</t>
        </is>
      </c>
      <c r="E12" t="inlineStr">
        <is>
          <t>Story</t>
        </is>
      </c>
      <c r="F12" t="inlineStr">
        <is>
          <t>Sagar Satpute</t>
        </is>
      </c>
      <c r="G12" t="inlineStr">
        <is>
          <t>Open</t>
        </is>
      </c>
      <c r="H12" t="inlineStr"/>
      <c r="I12" t="inlineStr">
        <is>
          <t>P2</t>
        </is>
      </c>
      <c r="J12" s="29" t="n">
        <v>46027</v>
      </c>
      <c r="L12" s="29" t="n">
        <v>46126</v>
      </c>
      <c r="M12" t="inlineStr">
        <is>
          <t>sprint-Fay</t>
        </is>
      </c>
      <c r="N12" s="11" t="n">
        <v>0</v>
      </c>
      <c r="O12" s="11" t="n">
        <v>0</v>
      </c>
      <c r="P12" t="inlineStr">
        <is>
          <t>PTGM</t>
        </is>
      </c>
      <c r="Q12" t="inlineStr"/>
      <c r="R12" t="inlineStr"/>
      <c r="S12" t="inlineStr"/>
    </row>
  </sheetData>
  <autoFilter ref="A1:S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Defect</t>
        </is>
      </c>
      <c r="B2" s="23" t="inlineStr">
        <is>
          <t>FILTER-12150</t>
        </is>
      </c>
      <c r="C2" s="24" t="inlineStr">
        <is>
          <t>JS (All Extensions) Some sites opened from search link from Google AI mode does not start image blurring right away</t>
        </is>
      </c>
      <c r="D2" s="22" t="inlineStr"/>
      <c r="E2" s="22" t="inlineStr"/>
      <c r="F2" s="22" t="inlineStr">
        <is>
          <t>Arun Thakur</t>
        </is>
      </c>
      <c r="G2" s="22" t="inlineStr">
        <is>
          <t>Open</t>
        </is>
      </c>
      <c r="H2" s="22" t="inlineStr"/>
      <c r="I2" s="22" t="inlineStr">
        <is>
          <t>P2</t>
        </is>
      </c>
      <c r="J2" s="25" t="n">
        <v>46077</v>
      </c>
      <c r="K2" s="22" t="n"/>
      <c r="L2" s="25" t="n">
        <v>46114</v>
      </c>
      <c r="M2" s="22" t="inlineStr">
        <is>
          <t>sprint-Fay</t>
        </is>
      </c>
      <c r="N2" s="26" t="n">
        <v>0</v>
      </c>
      <c r="O2" s="26" t="n">
        <v>2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s="22" t="inlineStr">
        <is>
          <t>Defect</t>
        </is>
      </c>
      <c r="B3" s="23" t="inlineStr">
        <is>
          <t>FILTER-12153</t>
        </is>
      </c>
      <c r="C3" s="24" t="inlineStr">
        <is>
          <t>JS (All Extensions): Esc Button is circumventing image blur</t>
        </is>
      </c>
      <c r="D3" s="22" t="inlineStr"/>
      <c r="E3" s="22" t="inlineStr"/>
      <c r="F3" s="22" t="inlineStr">
        <is>
          <t>Arun Thakur</t>
        </is>
      </c>
      <c r="G3" s="22" t="inlineStr">
        <is>
          <t>Open</t>
        </is>
      </c>
      <c r="H3" s="22" t="inlineStr"/>
      <c r="I3" s="22" t="inlineStr">
        <is>
          <t>P1</t>
        </is>
      </c>
      <c r="J3" s="25" t="n">
        <v>46077</v>
      </c>
      <c r="K3" s="22" t="n"/>
      <c r="L3" s="25" t="n">
        <v>46110</v>
      </c>
      <c r="M3" s="22" t="inlineStr">
        <is>
          <t>sprint-Fay</t>
        </is>
      </c>
      <c r="N3" s="26" t="n">
        <v>1</v>
      </c>
      <c r="O3" s="26" t="n">
        <v>2</v>
      </c>
      <c r="P3" s="22" t="inlineStr">
        <is>
          <t>FILTER</t>
        </is>
      </c>
      <c r="Q3" s="22" t="inlineStr">
        <is>
          <t>unplanned-sprint</t>
        </is>
      </c>
      <c r="R3" s="22" t="inlineStr"/>
      <c r="S3" s="27" t="inlineStr">
        <is>
          <t>YES</t>
        </is>
      </c>
    </row>
    <row r="4">
      <c r="A4" s="22" t="inlineStr">
        <is>
          <t>Escape Defect</t>
        </is>
      </c>
      <c r="B4" s="23" t="inlineStr">
        <is>
          <t>FILTER-9853</t>
        </is>
      </c>
      <c r="C4" s="24" t="inlineStr">
        <is>
          <t>Filter &gt;&gt; Activities and Emails for Blocked search terms on Yandex, Baidu and DuckDuckGo, do not have search query in external links</t>
        </is>
      </c>
      <c r="D4" s="22" t="inlineStr"/>
      <c r="E4" s="22" t="inlineStr"/>
      <c r="F4" s="22" t="inlineStr">
        <is>
          <t>Arun Thakur</t>
        </is>
      </c>
      <c r="G4" s="22" t="inlineStr">
        <is>
          <t>Open</t>
        </is>
      </c>
      <c r="H4" s="22" t="inlineStr"/>
      <c r="I4" s="22" t="inlineStr">
        <is>
          <t>P3</t>
        </is>
      </c>
      <c r="J4" s="25" t="n">
        <v>45900</v>
      </c>
      <c r="K4" s="22" t="n"/>
      <c r="L4" s="25" t="n">
        <v>46122</v>
      </c>
      <c r="M4" s="22" t="inlineStr">
        <is>
          <t>sprint-Fay</t>
        </is>
      </c>
      <c r="N4" s="26" t="n">
        <v>6.5</v>
      </c>
      <c r="O4" s="26" t="n">
        <v>2</v>
      </c>
      <c r="P4" s="22" t="inlineStr">
        <is>
          <t>FILTER</t>
        </is>
      </c>
      <c r="Q4" s="22" t="inlineStr"/>
      <c r="R4" s="22" t="inlineStr"/>
      <c r="S4" s="27" t="inlineStr">
        <is>
          <t>YES</t>
        </is>
      </c>
    </row>
    <row r="5">
      <c r="A5" s="22" t="inlineStr">
        <is>
          <t>Story</t>
        </is>
      </c>
      <c r="B5" s="23" t="inlineStr">
        <is>
          <t>FILTER-12400</t>
        </is>
      </c>
      <c r="C5" s="24" t="inlineStr">
        <is>
          <t>P1 Escalation - Extension API Fortification</t>
        </is>
      </c>
      <c r="D5" s="22" t="inlineStr"/>
      <c r="E5" s="22" t="inlineStr"/>
      <c r="F5" s="22" t="inlineStr">
        <is>
          <t>Ashish Modak</t>
        </is>
      </c>
      <c r="G5" s="22" t="inlineStr">
        <is>
          <t>Open</t>
        </is>
      </c>
      <c r="H5" s="22" t="inlineStr"/>
      <c r="I5" s="22" t="inlineStr">
        <is>
          <t>P1</t>
        </is>
      </c>
      <c r="J5" s="25" t="n">
        <v>46091</v>
      </c>
      <c r="K5" s="22" t="n"/>
      <c r="L5" s="25" t="n">
        <v>46140</v>
      </c>
      <c r="M5" s="22" t="inlineStr">
        <is>
          <t>sprint-Fay</t>
        </is>
      </c>
      <c r="N5" s="26" t="n">
        <v>0</v>
      </c>
      <c r="O5" s="26" t="n">
        <v>0</v>
      </c>
      <c r="P5" s="22" t="inlineStr">
        <is>
          <t>FILTER</t>
        </is>
      </c>
      <c r="Q5" s="22" t="inlineStr">
        <is>
          <t>p1escalation, unplanned-sprint</t>
        </is>
      </c>
      <c r="R5" s="22" t="inlineStr"/>
      <c r="S5" s="27" t="inlineStr">
        <is>
          <t>YES</t>
        </is>
      </c>
    </row>
    <row r="6">
      <c r="A6" s="22" t="inlineStr">
        <is>
          <t>Escape Defect</t>
        </is>
      </c>
      <c r="B6" s="23" t="inlineStr">
        <is>
          <t>FILTER-12010</t>
        </is>
      </c>
      <c r="C6" s="24" t="inlineStr">
        <is>
          <t>P1 Escalation-Extension Bypass - Bookmark + stop page</t>
        </is>
      </c>
      <c r="D6" s="22" t="inlineStr"/>
      <c r="E6" s="22" t="inlineStr"/>
      <c r="F6" s="22" t="inlineStr">
        <is>
          <t>Pratik Tiwari</t>
        </is>
      </c>
      <c r="G6" s="22" t="inlineStr">
        <is>
          <t>Confirmation</t>
        </is>
      </c>
      <c r="H6" s="22" t="inlineStr">
        <is>
          <t>Fixed</t>
        </is>
      </c>
      <c r="I6" s="22" t="inlineStr">
        <is>
          <t>P1</t>
        </is>
      </c>
      <c r="J6" s="25" t="n">
        <v>46063</v>
      </c>
      <c r="K6" s="25" t="n">
        <v>46118</v>
      </c>
      <c r="L6" s="25" t="n">
        <v>46140</v>
      </c>
      <c r="M6" s="22" t="inlineStr">
        <is>
          <t>sprint-Fay</t>
        </is>
      </c>
      <c r="N6" s="26" t="n">
        <v>20</v>
      </c>
      <c r="O6" s="26" t="n">
        <v>0</v>
      </c>
      <c r="P6" s="22" t="inlineStr">
        <is>
          <t>FILTER</t>
        </is>
      </c>
      <c r="Q6" s="22" t="inlineStr">
        <is>
          <t>jira_added, jira_confirmation, jira_done_notified, jira_escalated, jira_in_progress, jira_p1, jira_qa_verified, zendesk_enterprise, zendesk_org_at_risk</t>
        </is>
      </c>
      <c r="R6" s="22" t="inlineStr"/>
      <c r="S6" s="27" t="inlineStr">
        <is>
          <t>YES</t>
        </is>
      </c>
    </row>
    <row r="7">
      <c r="A7" s="22" t="inlineStr">
        <is>
          <t>Story</t>
        </is>
      </c>
      <c r="B7" s="23" t="inlineStr">
        <is>
          <t>FILTER-12333</t>
        </is>
      </c>
      <c r="C7" s="24" t="inlineStr">
        <is>
          <t>[sprox] RTQA5 testing for DNS &amp; SPAC</t>
        </is>
      </c>
      <c r="D7" s="22" t="inlineStr">
        <is>
          <t>FILTER-8230</t>
        </is>
      </c>
      <c r="E7" s="22" t="inlineStr">
        <is>
          <t>Epic</t>
        </is>
      </c>
      <c r="F7" s="22" t="inlineStr">
        <is>
          <t>Ravi Raj</t>
        </is>
      </c>
      <c r="G7" s="22" t="inlineStr">
        <is>
          <t>Closed without action</t>
        </is>
      </c>
      <c r="H7" s="22" t="inlineStr"/>
      <c r="I7" s="22" t="inlineStr">
        <is>
          <t>P3</t>
        </is>
      </c>
      <c r="J7" s="25" t="n">
        <v>46083</v>
      </c>
      <c r="K7" s="22" t="n"/>
      <c r="L7" s="25" t="n">
        <v>46126</v>
      </c>
      <c r="M7" s="22" t="inlineStr">
        <is>
          <t>sprint-Fay</t>
        </is>
      </c>
      <c r="N7" s="26" t="n">
        <v>16</v>
      </c>
      <c r="O7" s="26" t="n">
        <v>0</v>
      </c>
      <c r="P7" s="22" t="inlineStr">
        <is>
          <t>FILTER</t>
        </is>
      </c>
      <c r="Q7" s="22" t="inlineStr"/>
      <c r="R7" s="22" t="inlineStr"/>
      <c r="S7" s="27" t="inlineStr">
        <is>
          <t>YES</t>
        </is>
      </c>
    </row>
    <row r="8">
      <c r="A8" t="inlineStr">
        <is>
          <t>Task</t>
        </is>
      </c>
      <c r="B8" s="28" t="inlineStr">
        <is>
          <t>FILTER-10604</t>
        </is>
      </c>
      <c r="C8" s="20" t="inlineStr">
        <is>
          <t>Placeholder task to track the efforts used for Vanta tool task completion</t>
        </is>
      </c>
      <c r="D8" t="inlineStr"/>
      <c r="E8" t="inlineStr"/>
      <c r="F8" t="inlineStr">
        <is>
          <t>Harsh Verma</t>
        </is>
      </c>
      <c r="G8" t="inlineStr">
        <is>
          <t>In Progress</t>
        </is>
      </c>
      <c r="H8" t="inlineStr"/>
      <c r="I8" t="inlineStr">
        <is>
          <t>P3</t>
        </is>
      </c>
      <c r="J8" s="29" t="n">
        <v>45964</v>
      </c>
      <c r="L8" s="29" t="n">
        <v>46139</v>
      </c>
      <c r="M8" t="inlineStr">
        <is>
          <t>sprint-Fay</t>
        </is>
      </c>
      <c r="N8" s="11" t="n">
        <v>0</v>
      </c>
      <c r="O8" s="11" t="n">
        <v>8</v>
      </c>
      <c r="P8" t="inlineStr">
        <is>
          <t>FILTER</t>
        </is>
      </c>
      <c r="Q8" t="inlineStr">
        <is>
          <t>unplanned-sprint</t>
        </is>
      </c>
      <c r="R8" t="inlineStr"/>
      <c r="S8" t="inlineStr"/>
    </row>
    <row r="9">
      <c r="A9" t="inlineStr">
        <is>
          <t>Task</t>
        </is>
      </c>
      <c r="B9" s="28" t="inlineStr">
        <is>
          <t>FILTER-11697</t>
        </is>
      </c>
      <c r="C9" s="20" t="inlineStr">
        <is>
          <t>Extension of FILTER-11605</t>
        </is>
      </c>
      <c r="D9" t="inlineStr"/>
      <c r="E9" t="inlineStr"/>
      <c r="F9" t="inlineStr">
        <is>
          <t>Harsh Verma</t>
        </is>
      </c>
      <c r="G9" t="inlineStr">
        <is>
          <t>In Progress</t>
        </is>
      </c>
      <c r="H9" t="inlineStr"/>
      <c r="I9" t="inlineStr">
        <is>
          <t>P3</t>
        </is>
      </c>
      <c r="J9" s="29" t="n">
        <v>46041</v>
      </c>
      <c r="L9" s="29" t="n">
        <v>46139</v>
      </c>
      <c r="M9" t="inlineStr">
        <is>
          <t>sprint-Fay</t>
        </is>
      </c>
      <c r="N9" s="11" t="n">
        <v>0</v>
      </c>
      <c r="O9" s="11" t="n">
        <v>24</v>
      </c>
      <c r="P9" t="inlineStr">
        <is>
          <t>FILTER</t>
        </is>
      </c>
      <c r="Q9" t="inlineStr">
        <is>
          <t>unplanned-sprint</t>
        </is>
      </c>
      <c r="R9" t="inlineStr"/>
      <c r="S9" t="inlineStr"/>
    </row>
  </sheetData>
  <autoFilter ref="A1:S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7" t="inlineStr">
        <is>
          <t>P1 Escalation — FILTER · sprint-Fay (2026-03-17 → 2026-03-30)</t>
        </is>
      </c>
    </row>
    <row r="2">
      <c r="A2" s="30" t="inlineStr">
        <is>
          <t>sprint-Fay tickets where Issue Type = Escape Defect AND Priority = P1 AND summary contains 'P1 Escalation' (regardless of bucket). Total = 7.</t>
        </is>
      </c>
    </row>
    <row r="4">
      <c r="A4" s="31" t="inlineStr">
        <is>
          <t>Issue Type</t>
        </is>
      </c>
      <c r="B4" s="31" t="inlineStr">
        <is>
          <t>Issue key</t>
        </is>
      </c>
      <c r="C4" s="31" t="inlineStr">
        <is>
          <t>Summary</t>
        </is>
      </c>
      <c r="D4" s="31" t="inlineStr">
        <is>
          <t>Parent key</t>
        </is>
      </c>
      <c r="E4" s="31" t="inlineStr">
        <is>
          <t>Parent type</t>
        </is>
      </c>
      <c r="F4" s="31" t="inlineStr">
        <is>
          <t>Assignee</t>
        </is>
      </c>
      <c r="G4" s="31" t="inlineStr">
        <is>
          <t>Status</t>
        </is>
      </c>
      <c r="H4" s="31" t="inlineStr">
        <is>
          <t>Resolution</t>
        </is>
      </c>
      <c r="I4" s="31" t="inlineStr">
        <is>
          <t>Priority</t>
        </is>
      </c>
      <c r="J4" s="31" t="inlineStr">
        <is>
          <t>Created</t>
        </is>
      </c>
      <c r="K4" s="31" t="inlineStr">
        <is>
          <t>Resolved</t>
        </is>
      </c>
      <c r="L4" s="31" t="inlineStr">
        <is>
          <t>Updated</t>
        </is>
      </c>
      <c r="M4" s="31" t="inlineStr">
        <is>
          <t>Sprint</t>
        </is>
      </c>
      <c r="N4" s="31" t="inlineStr">
        <is>
          <t>Time Spent</t>
        </is>
      </c>
      <c r="O4" s="31" t="inlineStr">
        <is>
          <t>Original Est</t>
        </is>
      </c>
      <c r="P4" s="31" t="inlineStr">
        <is>
          <t>Project</t>
        </is>
      </c>
      <c r="Q4" s="31" t="inlineStr">
        <is>
          <t>Labels</t>
        </is>
      </c>
      <c r="R4" s="31" t="inlineStr">
        <is>
          <t>Blockers</t>
        </is>
      </c>
      <c r="S4" s="31" t="inlineStr">
        <is>
          <t>Bucket</t>
        </is>
      </c>
    </row>
    <row r="5">
      <c r="A5" s="32" t="inlineStr">
        <is>
          <t>Escape Defect</t>
        </is>
      </c>
      <c r="B5" s="33" t="inlineStr">
        <is>
          <t>FILTER-11610</t>
        </is>
      </c>
      <c r="C5" s="34" t="inlineStr">
        <is>
          <t>P1 Escalation-CORs Errors at BlueBeam and Boomerang S3 Amazon domains | St. Vrain</t>
        </is>
      </c>
      <c r="D5" s="32" t="inlineStr"/>
      <c r="E5" s="32" t="inlineStr"/>
      <c r="F5" s="32" t="inlineStr">
        <is>
          <t>Ramani Cheruvu</t>
        </is>
      </c>
      <c r="G5" s="32" t="inlineStr">
        <is>
          <t>In Progress</t>
        </is>
      </c>
      <c r="H5" s="32" t="inlineStr">
        <is>
          <t>Fixed</t>
        </is>
      </c>
      <c r="I5" s="32" t="inlineStr">
        <is>
          <t>P1</t>
        </is>
      </c>
      <c r="J5" s="35" t="n">
        <v>46030</v>
      </c>
      <c r="K5" s="35" t="n">
        <v>46049</v>
      </c>
      <c r="L5" s="35" t="n">
        <v>46139</v>
      </c>
      <c r="M5" s="32" t="inlineStr">
        <is>
          <t>sprint-Fay</t>
        </is>
      </c>
      <c r="N5" s="36" t="n">
        <v>0</v>
      </c>
      <c r="O5" s="36" t="n">
        <v>0</v>
      </c>
      <c r="P5" s="32" t="inlineStr">
        <is>
          <t>FILTER</t>
        </is>
      </c>
      <c r="Q5" s="32" t="inlineStr">
        <is>
          <t>Reverified-2026, jira_added, jira_backlog, jira_escalated, jira_in_progress, jira_open, jira_p1, jira_reopened, p1escalation, unplanned-sprint, zendesk_enterprise</t>
        </is>
      </c>
      <c r="R5" s="32" t="inlineStr"/>
      <c r="S5" s="37" t="inlineStr">
        <is>
          <t>Removed</t>
        </is>
      </c>
    </row>
    <row r="6">
      <c r="A6" s="32" t="inlineStr">
        <is>
          <t>Escape Defect</t>
        </is>
      </c>
      <c r="B6" s="33" t="inlineStr">
        <is>
          <t>FILTER-12476</t>
        </is>
      </c>
      <c r="C6" s="34" t="inlineStr">
        <is>
          <t>P1 Escalation-Extension Bypass - Opening new tab</t>
        </is>
      </c>
      <c r="D6" s="32" t="inlineStr"/>
      <c r="E6" s="32" t="inlineStr"/>
      <c r="F6" s="32" t="inlineStr">
        <is>
          <t>Shashank Tiwari</t>
        </is>
      </c>
      <c r="G6" s="32" t="inlineStr">
        <is>
          <t>QA READY</t>
        </is>
      </c>
      <c r="H6" s="32" t="inlineStr">
        <is>
          <t>Fixed</t>
        </is>
      </c>
      <c r="I6" s="32" t="inlineStr">
        <is>
          <t>P1</t>
        </is>
      </c>
      <c r="J6" s="35" t="n">
        <v>46094</v>
      </c>
      <c r="K6" s="35" t="n">
        <v>46140</v>
      </c>
      <c r="L6" s="35" t="n">
        <v>46140</v>
      </c>
      <c r="M6" s="32" t="inlineStr">
        <is>
          <t>sprint-Fay</t>
        </is>
      </c>
      <c r="N6" s="36" t="n">
        <v>1</v>
      </c>
      <c r="O6" s="36" t="n">
        <v>0</v>
      </c>
      <c r="P6" s="32" t="inlineStr">
        <is>
          <t>FILTER</t>
        </is>
      </c>
      <c r="Q6" s="32" t="inlineStr">
        <is>
          <t>jira_added, jira_escalated, jira_in_progress, jira_open, jira_p1, zendesk_enterprise</t>
        </is>
      </c>
      <c r="R6" s="32" t="inlineStr"/>
      <c r="S6" s="37" t="inlineStr">
        <is>
          <t>Removed</t>
        </is>
      </c>
    </row>
    <row r="7">
      <c r="A7" t="inlineStr">
        <is>
          <t>Escape Defect</t>
        </is>
      </c>
      <c r="B7" s="28" t="inlineStr">
        <is>
          <t>FILTER-12010</t>
        </is>
      </c>
      <c r="C7" s="20" t="inlineStr">
        <is>
          <t>P1 Escalation-Extension Bypass - Bookmark + stop page</t>
        </is>
      </c>
      <c r="D7" t="inlineStr"/>
      <c r="E7" t="inlineStr"/>
      <c r="F7" t="inlineStr">
        <is>
          <t>Pratik Tiwari</t>
        </is>
      </c>
      <c r="G7" t="inlineStr">
        <is>
          <t>Confirmation</t>
        </is>
      </c>
      <c r="H7" t="inlineStr">
        <is>
          <t>Fixed</t>
        </is>
      </c>
      <c r="I7" t="inlineStr">
        <is>
          <t>P1</t>
        </is>
      </c>
      <c r="J7" s="29" t="n">
        <v>46063</v>
      </c>
      <c r="K7" s="29" t="n">
        <v>46118</v>
      </c>
      <c r="L7" s="29" t="n">
        <v>46140</v>
      </c>
      <c r="M7" t="inlineStr">
        <is>
          <t>sprint-Fay</t>
        </is>
      </c>
      <c r="N7" s="11" t="n">
        <v>20</v>
      </c>
      <c r="O7" s="11" t="n">
        <v>0</v>
      </c>
      <c r="P7" t="inlineStr">
        <is>
          <t>FILTER</t>
        </is>
      </c>
      <c r="Q7" t="inlineStr">
        <is>
          <t>jira_added, jira_confirmation, jira_done_notified, jira_escalated, jira_in_progress, jira_p1, jira_qa_verified, zendesk_enterprise, zendesk_org_at_risk</t>
        </is>
      </c>
      <c r="R7" t="inlineStr"/>
      <c r="S7" t="inlineStr">
        <is>
          <t>Removed</t>
        </is>
      </c>
    </row>
    <row r="8">
      <c r="A8" t="inlineStr">
        <is>
          <t>Escape Defect</t>
        </is>
      </c>
      <c r="B8" s="28" t="inlineStr">
        <is>
          <t>FILTER-12093</t>
        </is>
      </c>
      <c r="C8" s="20" t="inlineStr">
        <is>
          <t>P1 Escalation-Students bypass Filter via W3Schools HTML sandbox using CDN / third-party iframe loading (GitHub content proxy)</t>
        </is>
      </c>
      <c r="D8" t="inlineStr"/>
      <c r="E8" t="inlineStr"/>
      <c r="F8" t="inlineStr">
        <is>
          <t>Shashank Tiwari</t>
        </is>
      </c>
      <c r="G8" t="inlineStr">
        <is>
          <t>Done</t>
        </is>
      </c>
      <c r="H8" t="inlineStr">
        <is>
          <t>Fixed</t>
        </is>
      </c>
      <c r="I8" t="inlineStr">
        <is>
          <t>P1</t>
        </is>
      </c>
      <c r="J8" s="29" t="n">
        <v>46071</v>
      </c>
      <c r="K8" s="29" t="n">
        <v>46094</v>
      </c>
      <c r="L8" s="29" t="n">
        <v>46128</v>
      </c>
      <c r="M8" t="inlineStr">
        <is>
          <t>sprint-Fay</t>
        </is>
      </c>
      <c r="N8" s="11" t="n">
        <v>21</v>
      </c>
      <c r="O8" s="11" t="n">
        <v>0</v>
      </c>
      <c r="P8" t="inlineStr">
        <is>
          <t>FILTER</t>
        </is>
      </c>
      <c r="Q8" t="inlineStr">
        <is>
          <t>jira_added, jira_closed_notify, jira_confirmation, jira_done, jira_escalated, jira_open, jira_p1, jira_qa_verified, jira_reopened, unplanned-sprint, zendesk_enterprise</t>
        </is>
      </c>
      <c r="R8" t="inlineStr"/>
      <c r="S8" t="inlineStr">
        <is>
          <t>Removed</t>
        </is>
      </c>
    </row>
    <row r="9">
      <c r="A9" t="inlineStr">
        <is>
          <t>Escape Defect</t>
        </is>
      </c>
      <c r="B9" s="28" t="inlineStr">
        <is>
          <t>FILTER-12247</t>
        </is>
      </c>
      <c r="C9" s="20" t="inlineStr">
        <is>
          <t xml:space="preserve">P1 Escalation-Appending allowed site to the blocked URL breaks CRXTN </t>
        </is>
      </c>
      <c r="D9" t="inlineStr"/>
      <c r="E9" t="inlineStr"/>
      <c r="F9" t="inlineStr">
        <is>
          <t>Shashank Tiwari</t>
        </is>
      </c>
      <c r="G9" t="inlineStr">
        <is>
          <t>Done</t>
        </is>
      </c>
      <c r="H9" t="inlineStr">
        <is>
          <t>Fixed</t>
        </is>
      </c>
      <c r="I9" t="inlineStr">
        <is>
          <t>P1</t>
        </is>
      </c>
      <c r="J9" s="29" t="n">
        <v>46079</v>
      </c>
      <c r="K9" s="29" t="n">
        <v>46105</v>
      </c>
      <c r="L9" s="29" t="n">
        <v>46129</v>
      </c>
      <c r="M9" t="inlineStr">
        <is>
          <t>sprint-Fay</t>
        </is>
      </c>
      <c r="N9" s="11" t="n">
        <v>0</v>
      </c>
      <c r="O9" s="11" t="n">
        <v>0</v>
      </c>
      <c r="P9" t="inlineStr">
        <is>
          <t>FILTER</t>
        </is>
      </c>
      <c r="Q9" t="inlineStr">
        <is>
          <t>Reverified-2026, jira_added, jira_backlog, jira_closed_notify, jira_confirmation, jira_done, jira_done_notified, jira_escalated, jira_in_progress, jira_open, jira_p1, jira_p2, jira_qa_verified, p1escalation</t>
        </is>
      </c>
      <c r="R9" t="inlineStr"/>
      <c r="S9" t="inlineStr">
        <is>
          <t>Completed</t>
        </is>
      </c>
    </row>
    <row r="10">
      <c r="A10" t="inlineStr">
        <is>
          <t>Escape Defect</t>
        </is>
      </c>
      <c r="B10" s="28" t="inlineStr">
        <is>
          <t>FILTER-12644</t>
        </is>
      </c>
      <c r="C10" s="20" t="inlineStr">
        <is>
          <t>P1 Escalation-Unable to download reports on Activities tab - Filter</t>
        </is>
      </c>
      <c r="D10" t="inlineStr"/>
      <c r="E10" t="inlineStr"/>
      <c r="F10" t="inlineStr">
        <is>
          <t>Shashank Tiwari</t>
        </is>
      </c>
      <c r="G10" t="inlineStr">
        <is>
          <t>Closed</t>
        </is>
      </c>
      <c r="H10" t="inlineStr">
        <is>
          <t>Configuration Issue</t>
        </is>
      </c>
      <c r="I10" t="inlineStr">
        <is>
          <t>P1</t>
        </is>
      </c>
      <c r="J10" s="29" t="n">
        <v>46105</v>
      </c>
      <c r="K10" s="29" t="n">
        <v>46107</v>
      </c>
      <c r="L10" s="29" t="n">
        <v>46133</v>
      </c>
      <c r="M10" t="inlineStr">
        <is>
          <t>sprint-Fay</t>
        </is>
      </c>
      <c r="N10" s="11" t="n">
        <v>0</v>
      </c>
      <c r="O10" s="11" t="n">
        <v>0</v>
      </c>
      <c r="P10" t="inlineStr">
        <is>
          <t>FILTER</t>
        </is>
      </c>
      <c r="Q10" t="inlineStr">
        <is>
          <t>Reverified-2026, jira_added, jira_backlog, jira_closed_notify, jira_escalated, jira_open, jira_p1, p1escalation, unplanned-sprint, zendesk_enterprise, zendesk_org_at_risk</t>
        </is>
      </c>
      <c r="R10" t="inlineStr"/>
      <c r="S10" t="inlineStr">
        <is>
          <t>Completed</t>
        </is>
      </c>
    </row>
    <row r="11">
      <c r="A11" t="inlineStr">
        <is>
          <t>Escape Defect</t>
        </is>
      </c>
      <c r="B11" s="28" t="inlineStr">
        <is>
          <t>FILTER-7666</t>
        </is>
      </c>
      <c r="C11" s="20" t="inlineStr">
        <is>
          <t>P1 Escalation-File downloading in Image Google Search</t>
        </is>
      </c>
      <c r="D11" t="inlineStr"/>
      <c r="E11" t="inlineStr"/>
      <c r="F11" t="inlineStr">
        <is>
          <t>Shashank Tiwari</t>
        </is>
      </c>
      <c r="G11" t="inlineStr">
        <is>
          <t>Confirmation</t>
        </is>
      </c>
      <c r="H11" t="inlineStr">
        <is>
          <t>Cannot Reproduce</t>
        </is>
      </c>
      <c r="I11" t="inlineStr">
        <is>
          <t>P1</t>
        </is>
      </c>
      <c r="J11" s="29" t="n">
        <v>45742</v>
      </c>
      <c r="K11" s="29" t="n">
        <v>45904</v>
      </c>
      <c r="L11" s="29" t="n">
        <v>46140</v>
      </c>
      <c r="M11" t="inlineStr">
        <is>
          <t>sprint-Fay</t>
        </is>
      </c>
      <c r="N11" s="11" t="n">
        <v>2</v>
      </c>
      <c r="O11" s="11" t="n">
        <v>12</v>
      </c>
      <c r="P11" t="inlineStr">
        <is>
          <t>FILTER</t>
        </is>
      </c>
      <c r="Q11" t="inlineStr">
        <is>
          <t>Reverified-2026, jira_added, jira_backlog, jira_closed_notify, jira_confirmation, jira_done_notified, jira_escalated, jira_in_progress, jira_open, jira_p1, jira_reopened, jira_resolved, zendesk_org_at_risk</t>
        </is>
      </c>
      <c r="R11" t="inlineStr"/>
      <c r="S11" t="inlineStr">
        <is>
          <t>Removed</t>
        </is>
      </c>
    </row>
  </sheetData>
  <autoFilter ref="A4:S11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2026-04-29T03:08:36Z</dcterms:created>
  <dcterms:modified xsi:type="dcterms:W3CDTF">2026-04-29T03:08:36Z</dcterms:modified>
</cp:coreProperties>
</file>